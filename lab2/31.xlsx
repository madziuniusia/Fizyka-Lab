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dalenasmietana/Documents/Fizyka/Fizyka-Lab/lab2/"/>
    </mc:Choice>
  </mc:AlternateContent>
  <xr:revisionPtr revIDLastSave="0" documentId="13_ncr:1_{4AE37496-DEDA-D149-8912-F58B65D92A22}" xr6:coauthVersionLast="47" xr6:coauthVersionMax="47" xr10:uidLastSave="{00000000-0000-0000-0000-000000000000}"/>
  <bookViews>
    <workbookView xWindow="0" yWindow="660" windowWidth="29400" windowHeight="18460" xr2:uid="{9BA97022-0ECA-A347-BDBE-540DC07422D8}"/>
  </bookViews>
  <sheets>
    <sheet name="Cylindryczny" sheetId="1" r:id="rId1"/>
    <sheet name="Płask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2" i="2"/>
  <c r="K3" i="2"/>
  <c r="K4" i="2"/>
  <c r="K5" i="2"/>
  <c r="K6" i="2"/>
  <c r="K7" i="2"/>
  <c r="K8" i="2"/>
  <c r="K9" i="2"/>
  <c r="K2" i="2"/>
  <c r="J3" i="2"/>
  <c r="J4" i="2"/>
  <c r="J5" i="2"/>
  <c r="J6" i="2"/>
  <c r="J7" i="2"/>
  <c r="J8" i="2"/>
  <c r="J9" i="2"/>
  <c r="J2" i="2"/>
  <c r="B2" i="1"/>
  <c r="B3" i="1"/>
  <c r="B4" i="1"/>
  <c r="B5" i="1"/>
  <c r="B6" i="1"/>
  <c r="B7" i="1"/>
  <c r="B8" i="1"/>
  <c r="B9" i="1"/>
  <c r="B10" i="1"/>
  <c r="B11" i="1"/>
  <c r="B17" i="1"/>
  <c r="G3" i="1" s="1"/>
  <c r="J3" i="1"/>
  <c r="J4" i="1"/>
  <c r="J2" i="1"/>
  <c r="F10" i="2"/>
  <c r="G10" i="2"/>
  <c r="F9" i="2"/>
  <c r="G9" i="2"/>
  <c r="G8" i="2"/>
  <c r="F8" i="2"/>
  <c r="F7" i="2"/>
  <c r="G7" i="2"/>
  <c r="F6" i="2"/>
  <c r="G6" i="2"/>
  <c r="G5" i="2"/>
  <c r="F5" i="2"/>
  <c r="F4" i="2"/>
  <c r="G4" i="2"/>
  <c r="F3" i="2"/>
  <c r="G3" i="2"/>
  <c r="F2" i="2"/>
  <c r="G2" i="2"/>
  <c r="F3" i="1"/>
  <c r="F4" i="1"/>
  <c r="F5" i="1"/>
  <c r="F6" i="1"/>
  <c r="F7" i="1"/>
  <c r="F8" i="1"/>
  <c r="F9" i="1"/>
  <c r="F10" i="1"/>
  <c r="F11" i="1"/>
  <c r="F2" i="1"/>
  <c r="G2" i="1" l="1"/>
  <c r="G11" i="1"/>
  <c r="G10" i="1"/>
  <c r="G9" i="1"/>
  <c r="G8" i="1"/>
  <c r="G6" i="1"/>
  <c r="G7" i="1"/>
  <c r="G5" i="1"/>
  <c r="G4" i="1"/>
  <c r="J10" i="1"/>
  <c r="J8" i="1"/>
  <c r="J7" i="1"/>
  <c r="J6" i="1"/>
  <c r="J9" i="1"/>
  <c r="J5" i="1"/>
</calcChain>
</file>

<file path=xl/sharedStrings.xml><?xml version="1.0" encoding="utf-8"?>
<sst xmlns="http://schemas.openxmlformats.org/spreadsheetml/2006/main" count="39" uniqueCount="20">
  <si>
    <t>L.p.</t>
  </si>
  <si>
    <t>x [mm]</t>
  </si>
  <si>
    <t>V_a [V]</t>
  </si>
  <si>
    <t>V_b [V]</t>
  </si>
  <si>
    <t>V_c [V]</t>
  </si>
  <si>
    <t>V_dośw. [V]</t>
  </si>
  <si>
    <t>V_teor [V]</t>
  </si>
  <si>
    <t>d</t>
  </si>
  <si>
    <t>[mm]</t>
  </si>
  <si>
    <t>U</t>
  </si>
  <si>
    <t>[V]</t>
  </si>
  <si>
    <t>d_d</t>
  </si>
  <si>
    <t>E_dośw [V/m]</t>
  </si>
  <si>
    <t>E_teor [V/m]</t>
  </si>
  <si>
    <t>x* [m]</t>
  </si>
  <si>
    <t>rw</t>
  </si>
  <si>
    <t>rz</t>
  </si>
  <si>
    <t>[m]</t>
  </si>
  <si>
    <t>x*[m]</t>
  </si>
  <si>
    <t>u( E ) [V/m]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</si>
</sst>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6" x14ac:knownFonts="1">
    <font>
      <sz val="12"/>
      <color theme="1"/>
      <name val="Calibri"/>
      <family val="2"/>
      <scheme val="minor"/>
    </font>
    <font>
      <sz val="12"/>
      <color rgb="FF312E81"/>
      <name val="Arial"/>
      <family val="2"/>
    </font>
    <font>
      <sz val="12"/>
      <color rgb="FF030712"/>
      <name val="Arial"/>
      <family val="2"/>
    </font>
    <font>
      <sz val="12"/>
      <color rgb="FF030712"/>
      <name val="Arial"/>
      <family val="2"/>
    </font>
    <font>
      <sz val="14"/>
      <color rgb="FF312E8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effectLst/>
              </a:rPr>
              <a:t>wartości doświadczalne i teoretyczne potencjału 𝑉 w zależności</a:t>
            </a:r>
          </a:p>
          <a:p>
            <a:pPr>
              <a:defRPr/>
            </a:pPr>
            <a:r>
              <a:rPr lang="en-US" sz="1000">
                <a:effectLst/>
              </a:rPr>
              <a:t>od odległości od płytek kondensatora cylindrycznego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Cylindryczny!$F$1</c:f>
              <c:strCache>
                <c:ptCount val="1"/>
                <c:pt idx="0">
                  <c:v>V_dośw. [V]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Cylindryczny!$B$2:$B$11</c:f>
              <c:numCache>
                <c:formatCode>General</c:formatCode>
                <c:ptCount val="10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</c:numCache>
            </c:numRef>
          </c:cat>
          <c:val>
            <c:numRef>
              <c:f>Cylindryczny!$F$2:$F$11</c:f>
              <c:numCache>
                <c:formatCode>0.00</c:formatCode>
                <c:ptCount val="10"/>
                <c:pt idx="0">
                  <c:v>1.3</c:v>
                </c:pt>
                <c:pt idx="1">
                  <c:v>1.6666666666666667</c:v>
                </c:pt>
                <c:pt idx="2">
                  <c:v>2.11</c:v>
                </c:pt>
                <c:pt idx="3">
                  <c:v>2.6166666666666667</c:v>
                </c:pt>
                <c:pt idx="4">
                  <c:v>3.14</c:v>
                </c:pt>
                <c:pt idx="5">
                  <c:v>3.72</c:v>
                </c:pt>
                <c:pt idx="6">
                  <c:v>4.3033333333333337</c:v>
                </c:pt>
                <c:pt idx="7">
                  <c:v>5.1066666666666665</c:v>
                </c:pt>
                <c:pt idx="8">
                  <c:v>6.12</c:v>
                </c:pt>
                <c:pt idx="9">
                  <c:v>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F-194D-AD56-58414F5E81FF}"/>
            </c:ext>
          </c:extLst>
        </c:ser>
        <c:ser>
          <c:idx val="1"/>
          <c:order val="1"/>
          <c:tx>
            <c:strRef>
              <c:f>Cylindryczny!$G$1</c:f>
              <c:strCache>
                <c:ptCount val="1"/>
                <c:pt idx="0">
                  <c:v>V_teor [V]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Cylindryczny!$B$2:$B$11</c:f>
              <c:numCache>
                <c:formatCode>General</c:formatCode>
                <c:ptCount val="10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  <c:pt idx="9">
                  <c:v>70</c:v>
                </c:pt>
              </c:numCache>
            </c:numRef>
          </c:cat>
          <c:val>
            <c:numRef>
              <c:f>Cylindryczny!$G$2:$G$11</c:f>
              <c:numCache>
                <c:formatCode>0.00</c:formatCode>
                <c:ptCount val="10"/>
                <c:pt idx="0">
                  <c:v>1.524030147599758</c:v>
                </c:pt>
                <c:pt idx="1">
                  <c:v>2.8360742846310911</c:v>
                </c:pt>
                <c:pt idx="2">
                  <c:v>3.9879679442943261</c:v>
                </c:pt>
                <c:pt idx="3">
                  <c:v>5.0145888313429481</c:v>
                </c:pt>
                <c:pt idx="4">
                  <c:v>5.9405317310471943</c:v>
                </c:pt>
                <c:pt idx="5">
                  <c:v>6.783791481549593</c:v>
                </c:pt>
                <c:pt idx="6">
                  <c:v>7.5579317324709256</c:v>
                </c:pt>
                <c:pt idx="7">
                  <c:v>8.2734301155978525</c:v>
                </c:pt>
                <c:pt idx="8">
                  <c:v>8.9385487870524329</c:v>
                </c:pt>
                <c:pt idx="9">
                  <c:v>9.5599181221975797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F-194D-AD56-58414F5E8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445695"/>
        <c:axId val="454069759"/>
      </c:lineChart>
      <c:catAx>
        <c:axId val="50744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Odległość od nakładki naładowanej potencjałem 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69759"/>
        <c:crosses val="autoZero"/>
        <c:auto val="1"/>
        <c:lblAlgn val="ctr"/>
        <c:lblOffset val="100"/>
        <c:noMultiLvlLbl val="0"/>
      </c:catAx>
      <c:valAx>
        <c:axId val="4540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Wartość potencjału</a:t>
                </a:r>
                <a:r>
                  <a:rPr lang="en-US" baseline="0"/>
                  <a:t>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4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Płaski!$F$1</c:f>
              <c:strCache>
                <c:ptCount val="1"/>
                <c:pt idx="0">
                  <c:v>V_dośw. [V]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Płaski!$F$2:$F$10</c:f>
              <c:numCache>
                <c:formatCode>0.00</c:formatCode>
                <c:ptCount val="9"/>
                <c:pt idx="0">
                  <c:v>7.7233333333333336</c:v>
                </c:pt>
                <c:pt idx="1">
                  <c:v>6.913333333333334</c:v>
                </c:pt>
                <c:pt idx="2">
                  <c:v>6.1833333333333336</c:v>
                </c:pt>
                <c:pt idx="3">
                  <c:v>5.45</c:v>
                </c:pt>
                <c:pt idx="4">
                  <c:v>4.79</c:v>
                </c:pt>
                <c:pt idx="5">
                  <c:v>4.01</c:v>
                </c:pt>
                <c:pt idx="6">
                  <c:v>3.2333333333333329</c:v>
                </c:pt>
                <c:pt idx="7">
                  <c:v>2.5366666666666666</c:v>
                </c:pt>
                <c:pt idx="8">
                  <c:v>1.8366666666666667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8-BB46-B166-2601F7B09EDD}"/>
            </c:ext>
          </c:extLst>
        </c:ser>
        <c:ser>
          <c:idx val="1"/>
          <c:order val="1"/>
          <c:tx>
            <c:strRef>
              <c:f>Płaski!$G$1</c:f>
              <c:strCache>
                <c:ptCount val="1"/>
                <c:pt idx="0">
                  <c:v>V_teor [V]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Płaski!$G$2:$G$10</c:f>
              <c:numCache>
                <c:formatCode>0.00</c:formatCode>
                <c:ptCount val="9"/>
                <c:pt idx="0">
                  <c:v>9.0449999999999999</c:v>
                </c:pt>
                <c:pt idx="1">
                  <c:v>8.0400000000000009</c:v>
                </c:pt>
                <c:pt idx="2">
                  <c:v>7.0350000000000001</c:v>
                </c:pt>
                <c:pt idx="3">
                  <c:v>6.03</c:v>
                </c:pt>
                <c:pt idx="4">
                  <c:v>5.0250000000000004</c:v>
                </c:pt>
                <c:pt idx="5">
                  <c:v>4.0200000000000005</c:v>
                </c:pt>
                <c:pt idx="6">
                  <c:v>3.0150000000000001</c:v>
                </c:pt>
                <c:pt idx="7">
                  <c:v>2.0100000000000002</c:v>
                </c:pt>
                <c:pt idx="8">
                  <c:v>1.0050000000000001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8-BB46-B166-2601F7B09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079615"/>
        <c:axId val="445474879"/>
      </c:lineChart>
      <c:catAx>
        <c:axId val="454079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74879"/>
        <c:crosses val="autoZero"/>
        <c:auto val="1"/>
        <c:lblAlgn val="ctr"/>
        <c:lblOffset val="100"/>
        <c:noMultiLvlLbl val="0"/>
      </c:catAx>
      <c:valAx>
        <c:axId val="4454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7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14</xdr:row>
      <xdr:rowOff>158750</xdr:rowOff>
    </xdr:from>
    <xdr:to>
      <xdr:col>13</xdr:col>
      <xdr:colOff>514350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30ECFB-D581-FCB7-53E2-8F23D9E9D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811112</xdr:colOff>
      <xdr:row>15</xdr:row>
      <xdr:rowOff>193704</xdr:rowOff>
    </xdr:from>
    <xdr:to>
      <xdr:col>6</xdr:col>
      <xdr:colOff>428364</xdr:colOff>
      <xdr:row>29</xdr:row>
      <xdr:rowOff>92104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0DBA1-3629-84F0-9004-623F53A30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0C7D-DDDA-FA41-8140-030802D7CD28}">
  <dimension ref="A1:L30"/>
  <sheetViews>
    <sheetView tabSelected="1" workbookViewId="0">
      <selection activeCell="K3" sqref="K3"/>
    </sheetView>
  </sheetViews>
  <sheetFormatPr baseColWidth="10" defaultRowHeight="16" x14ac:dyDescent="0.2"/>
  <cols>
    <col min="6" max="7" width="12.1640625" bestFit="1" customWidth="1"/>
    <col min="10" max="10" width="8.1640625" bestFit="1" customWidth="1"/>
    <col min="11" max="11" width="12.6640625" bestFit="1" customWidth="1"/>
    <col min="12" max="12" width="12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14</v>
      </c>
      <c r="K1" t="s">
        <v>12</v>
      </c>
      <c r="L1" t="s">
        <v>13</v>
      </c>
    </row>
    <row r="2" spans="1:12" x14ac:dyDescent="0.2">
      <c r="A2">
        <v>1</v>
      </c>
      <c r="B2">
        <f>A2*$B$14</f>
        <v>7</v>
      </c>
      <c r="C2">
        <v>1.46</v>
      </c>
      <c r="D2">
        <v>1.56</v>
      </c>
      <c r="E2">
        <v>0.88</v>
      </c>
      <c r="F2" s="1">
        <f>AVERAGE(C2:E2)</f>
        <v>1.3</v>
      </c>
      <c r="G2" s="1">
        <f>($B$15/LN($B$17/$B$16))*LN((B2 / 1000 + $B$16)/$B$16)</f>
        <v>1.524030147599758</v>
      </c>
      <c r="I2">
        <v>1</v>
      </c>
      <c r="J2">
        <f>AVERAGE(B2:B3) / 1000</f>
        <v>1.0500000000000001E-2</v>
      </c>
      <c r="K2" s="1"/>
      <c r="L2" s="1"/>
    </row>
    <row r="3" spans="1:12" x14ac:dyDescent="0.2">
      <c r="A3">
        <v>2</v>
      </c>
      <c r="B3">
        <f t="shared" ref="B3:B11" si="0">A3*$B$14</f>
        <v>14</v>
      </c>
      <c r="C3">
        <v>1.91</v>
      </c>
      <c r="D3">
        <v>1.91</v>
      </c>
      <c r="E3">
        <v>1.18</v>
      </c>
      <c r="F3" s="1">
        <f t="shared" ref="F3:F11" si="1">AVERAGE(C3:E3)</f>
        <v>1.6666666666666667</v>
      </c>
      <c r="G3" s="1">
        <f t="shared" ref="G3:G11" si="2">($B$15/LN($B$17/$B$16))*LN((B3 / 1000 + $B$16)/$B$16)</f>
        <v>2.8360742846310911</v>
      </c>
      <c r="I3">
        <v>2</v>
      </c>
      <c r="J3">
        <f t="shared" ref="J3:J10" si="3">AVERAGE(B3:B4) / 1000</f>
        <v>1.7500000000000002E-2</v>
      </c>
      <c r="K3" s="1"/>
      <c r="L3" s="1"/>
    </row>
    <row r="4" spans="1:12" x14ac:dyDescent="0.2">
      <c r="A4">
        <v>3</v>
      </c>
      <c r="B4">
        <f t="shared" si="0"/>
        <v>21</v>
      </c>
      <c r="C4">
        <v>2.4300000000000002</v>
      </c>
      <c r="D4">
        <v>2.3199999999999998</v>
      </c>
      <c r="E4">
        <v>1.58</v>
      </c>
      <c r="F4" s="1">
        <f t="shared" si="1"/>
        <v>2.11</v>
      </c>
      <c r="G4" s="1">
        <f t="shared" si="2"/>
        <v>3.9879679442943261</v>
      </c>
      <c r="I4">
        <v>3</v>
      </c>
      <c r="J4">
        <f t="shared" si="3"/>
        <v>2.4500000000000001E-2</v>
      </c>
      <c r="K4" s="1"/>
      <c r="L4" s="1"/>
    </row>
    <row r="5" spans="1:12" x14ac:dyDescent="0.2">
      <c r="A5">
        <v>4</v>
      </c>
      <c r="B5">
        <f t="shared" si="0"/>
        <v>28</v>
      </c>
      <c r="C5">
        <v>2.89</v>
      </c>
      <c r="D5">
        <v>2.83</v>
      </c>
      <c r="E5">
        <v>2.13</v>
      </c>
      <c r="F5" s="1">
        <f t="shared" si="1"/>
        <v>2.6166666666666667</v>
      </c>
      <c r="G5" s="1">
        <f t="shared" si="2"/>
        <v>5.0145888313429481</v>
      </c>
      <c r="I5">
        <v>4</v>
      </c>
      <c r="J5">
        <f t="shared" si="3"/>
        <v>3.15E-2</v>
      </c>
      <c r="K5" s="1"/>
      <c r="L5" s="1"/>
    </row>
    <row r="6" spans="1:12" x14ac:dyDescent="0.2">
      <c r="A6">
        <v>5</v>
      </c>
      <c r="B6">
        <f t="shared" si="0"/>
        <v>35</v>
      </c>
      <c r="C6">
        <v>3.44</v>
      </c>
      <c r="D6">
        <v>3.34</v>
      </c>
      <c r="E6">
        <v>2.64</v>
      </c>
      <c r="F6" s="1">
        <f t="shared" si="1"/>
        <v>3.14</v>
      </c>
      <c r="G6" s="1">
        <f t="shared" si="2"/>
        <v>5.9405317310471943</v>
      </c>
      <c r="I6">
        <v>5</v>
      </c>
      <c r="J6">
        <f t="shared" si="3"/>
        <v>3.85E-2</v>
      </c>
      <c r="K6" s="1"/>
      <c r="L6" s="1"/>
    </row>
    <row r="7" spans="1:12" x14ac:dyDescent="0.2">
      <c r="A7">
        <v>6</v>
      </c>
      <c r="B7">
        <f t="shared" si="0"/>
        <v>42</v>
      </c>
      <c r="C7">
        <v>4.13</v>
      </c>
      <c r="D7">
        <v>3.85</v>
      </c>
      <c r="E7">
        <v>3.18</v>
      </c>
      <c r="F7" s="1">
        <f t="shared" si="1"/>
        <v>3.72</v>
      </c>
      <c r="G7" s="1">
        <f t="shared" si="2"/>
        <v>6.783791481549593</v>
      </c>
      <c r="I7">
        <v>6</v>
      </c>
      <c r="J7">
        <f t="shared" si="3"/>
        <v>4.5499999999999999E-2</v>
      </c>
      <c r="K7" s="1"/>
      <c r="L7" s="1"/>
    </row>
    <row r="8" spans="1:12" x14ac:dyDescent="0.2">
      <c r="A8">
        <v>7</v>
      </c>
      <c r="B8">
        <f t="shared" si="0"/>
        <v>49</v>
      </c>
      <c r="C8">
        <v>4.6900000000000004</v>
      </c>
      <c r="D8">
        <v>4.3499999999999996</v>
      </c>
      <c r="E8">
        <v>3.87</v>
      </c>
      <c r="F8" s="1">
        <f t="shared" si="1"/>
        <v>4.3033333333333337</v>
      </c>
      <c r="G8" s="1">
        <f t="shared" si="2"/>
        <v>7.5579317324709256</v>
      </c>
      <c r="I8">
        <v>7</v>
      </c>
      <c r="J8">
        <f t="shared" si="3"/>
        <v>5.2499999999999998E-2</v>
      </c>
      <c r="K8" s="1"/>
      <c r="L8" s="1"/>
    </row>
    <row r="9" spans="1:12" x14ac:dyDescent="0.2">
      <c r="A9">
        <v>8</v>
      </c>
      <c r="B9">
        <f t="shared" si="0"/>
        <v>56</v>
      </c>
      <c r="C9">
        <v>5.46</v>
      </c>
      <c r="D9">
        <v>5.13</v>
      </c>
      <c r="E9">
        <v>4.7300000000000004</v>
      </c>
      <c r="F9" s="1">
        <f t="shared" si="1"/>
        <v>5.1066666666666665</v>
      </c>
      <c r="G9" s="1">
        <f t="shared" si="2"/>
        <v>8.2734301155978525</v>
      </c>
      <c r="I9">
        <v>8</v>
      </c>
      <c r="J9">
        <f t="shared" si="3"/>
        <v>5.9499999999999997E-2</v>
      </c>
      <c r="K9" s="1"/>
      <c r="L9" s="1"/>
    </row>
    <row r="10" spans="1:12" x14ac:dyDescent="0.2">
      <c r="A10">
        <v>9</v>
      </c>
      <c r="B10">
        <f t="shared" si="0"/>
        <v>63</v>
      </c>
      <c r="C10">
        <v>6.46</v>
      </c>
      <c r="D10">
        <v>6.11</v>
      </c>
      <c r="E10">
        <v>5.79</v>
      </c>
      <c r="F10" s="1">
        <f t="shared" si="1"/>
        <v>6.12</v>
      </c>
      <c r="G10" s="1">
        <f t="shared" si="2"/>
        <v>8.9385487870524329</v>
      </c>
      <c r="I10">
        <v>9</v>
      </c>
      <c r="J10">
        <f t="shared" si="3"/>
        <v>6.6500000000000004E-2</v>
      </c>
      <c r="K10" s="1"/>
      <c r="L10" s="1"/>
    </row>
    <row r="11" spans="1:12" x14ac:dyDescent="0.2">
      <c r="A11">
        <v>10</v>
      </c>
      <c r="B11">
        <f t="shared" si="0"/>
        <v>70</v>
      </c>
      <c r="C11">
        <v>7.53</v>
      </c>
      <c r="D11">
        <v>7.77</v>
      </c>
      <c r="E11">
        <v>7.05</v>
      </c>
      <c r="F11" s="1">
        <f t="shared" si="1"/>
        <v>7.45</v>
      </c>
      <c r="G11" s="1">
        <f t="shared" si="2"/>
        <v>9.5599181221975797</v>
      </c>
    </row>
    <row r="13" spans="1:12" x14ac:dyDescent="0.2">
      <c r="A13" t="s">
        <v>7</v>
      </c>
      <c r="B13">
        <v>75</v>
      </c>
      <c r="C13" t="s">
        <v>8</v>
      </c>
    </row>
    <row r="14" spans="1:12" x14ac:dyDescent="0.2">
      <c r="A14" t="s">
        <v>11</v>
      </c>
      <c r="B14">
        <v>7</v>
      </c>
      <c r="C14" t="s">
        <v>8</v>
      </c>
    </row>
    <row r="15" spans="1:12" x14ac:dyDescent="0.2">
      <c r="A15" t="s">
        <v>9</v>
      </c>
      <c r="B15">
        <v>9.98</v>
      </c>
      <c r="C15" t="s">
        <v>10</v>
      </c>
    </row>
    <row r="16" spans="1:12" x14ac:dyDescent="0.2">
      <c r="A16" t="s">
        <v>15</v>
      </c>
      <c r="B16">
        <v>0.04</v>
      </c>
      <c r="C16" t="s">
        <v>17</v>
      </c>
    </row>
    <row r="17" spans="1:6" x14ac:dyDescent="0.2">
      <c r="A17" t="s">
        <v>16</v>
      </c>
      <c r="B17">
        <f>B16+B13 / 1000</f>
        <v>0.11499999999999999</v>
      </c>
      <c r="C17" t="s">
        <v>17</v>
      </c>
    </row>
    <row r="20" spans="1:6" x14ac:dyDescent="0.2">
      <c r="E20" s="6"/>
    </row>
    <row r="22" spans="1:6" ht="18" x14ac:dyDescent="0.2">
      <c r="C22" s="2"/>
      <c r="F22" s="5"/>
    </row>
    <row r="23" spans="1:6" x14ac:dyDescent="0.2">
      <c r="C23" s="3"/>
      <c r="D23" s="4"/>
      <c r="E23" s="3"/>
      <c r="F23" s="2"/>
    </row>
    <row r="24" spans="1:6" x14ac:dyDescent="0.2">
      <c r="C24" s="3"/>
      <c r="D24" s="4"/>
      <c r="E24" s="3"/>
      <c r="F24" s="2"/>
    </row>
    <row r="25" spans="1:6" x14ac:dyDescent="0.2">
      <c r="C25" s="3"/>
      <c r="D25" s="4"/>
      <c r="E25" s="3"/>
      <c r="F25" s="2"/>
    </row>
    <row r="26" spans="1:6" x14ac:dyDescent="0.2">
      <c r="C26" s="3"/>
      <c r="D26" s="4"/>
      <c r="E26" s="3"/>
      <c r="F26" s="2"/>
    </row>
    <row r="27" spans="1:6" x14ac:dyDescent="0.2">
      <c r="C27" s="3"/>
      <c r="D27" s="4"/>
      <c r="E27" s="3"/>
      <c r="F27" s="2"/>
    </row>
    <row r="28" spans="1:6" x14ac:dyDescent="0.2">
      <c r="C28" s="3"/>
      <c r="D28" s="4"/>
      <c r="E28" s="3"/>
      <c r="F28" s="2"/>
    </row>
    <row r="29" spans="1:6" x14ac:dyDescent="0.2">
      <c r="C29" s="3"/>
      <c r="D29" s="4"/>
      <c r="E29" s="3"/>
      <c r="F29" s="2"/>
    </row>
    <row r="30" spans="1:6" x14ac:dyDescent="0.2">
      <c r="C30" s="3"/>
      <c r="D30" s="4"/>
      <c r="E30" s="3"/>
      <c r="F3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D08B-6B15-7F40-8452-B8D5EB243B4E}">
  <dimension ref="A1:M15"/>
  <sheetViews>
    <sheetView zoomScale="109" workbookViewId="0">
      <selection activeCell="G13" sqref="G13"/>
    </sheetView>
  </sheetViews>
  <sheetFormatPr baseColWidth="10" defaultRowHeight="16" x14ac:dyDescent="0.2"/>
  <cols>
    <col min="11" max="11" width="12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18</v>
      </c>
      <c r="K1" t="s">
        <v>12</v>
      </c>
      <c r="L1" t="s">
        <v>13</v>
      </c>
      <c r="M1" t="s">
        <v>19</v>
      </c>
    </row>
    <row r="2" spans="1:13" x14ac:dyDescent="0.2">
      <c r="A2">
        <v>1</v>
      </c>
      <c r="B2">
        <v>45</v>
      </c>
      <c r="C2">
        <v>7.55</v>
      </c>
      <c r="D2">
        <v>7.89</v>
      </c>
      <c r="E2">
        <v>7.73</v>
      </c>
      <c r="F2" s="1">
        <f>AVERAGE(C2:E2)</f>
        <v>7.7233333333333336</v>
      </c>
      <c r="G2" s="1">
        <f>$B$15/$B$13*B2</f>
        <v>9.0449999999999999</v>
      </c>
      <c r="I2">
        <v>1</v>
      </c>
      <c r="J2">
        <f>AVERAGE(B2:B3)/1000</f>
        <v>4.2500000000000003E-2</v>
      </c>
      <c r="K2" s="1">
        <f>(F3-F2)/(B3/1000-B2/1000)</f>
        <v>162</v>
      </c>
      <c r="L2" s="7">
        <f>(G3-G2)/(B3/1000-B2/1000)</f>
        <v>200.99999999999991</v>
      </c>
    </row>
    <row r="3" spans="1:13" x14ac:dyDescent="0.2">
      <c r="A3">
        <v>2</v>
      </c>
      <c r="B3">
        <v>40</v>
      </c>
      <c r="C3">
        <v>6.7</v>
      </c>
      <c r="D3">
        <v>7.06</v>
      </c>
      <c r="E3">
        <v>6.98</v>
      </c>
      <c r="F3" s="1">
        <f t="shared" ref="F3:F10" si="0">AVERAGE(C3:E3)</f>
        <v>6.913333333333334</v>
      </c>
      <c r="G3" s="1">
        <f t="shared" ref="G3:G10" si="1">$B$15/$B$13*B3</f>
        <v>8.0400000000000009</v>
      </c>
      <c r="I3">
        <v>2</v>
      </c>
      <c r="J3">
        <f t="shared" ref="J3:J9" si="2">AVERAGE(B3:B4)/1000</f>
        <v>3.7499999999999999E-2</v>
      </c>
      <c r="K3" s="1">
        <f t="shared" ref="K3:K9" si="3">(F4-F3)/(B4/1000-B3/1000)</f>
        <v>146.00000000000017</v>
      </c>
      <c r="L3" s="7">
        <f t="shared" ref="L3:L9" si="4">(G4-G3)/(B4/1000-B3/1000)</f>
        <v>201.00000000000026</v>
      </c>
    </row>
    <row r="4" spans="1:13" x14ac:dyDescent="0.2">
      <c r="A4">
        <v>3</v>
      </c>
      <c r="B4">
        <v>35</v>
      </c>
      <c r="C4">
        <v>5.98</v>
      </c>
      <c r="D4">
        <v>6.38</v>
      </c>
      <c r="E4">
        <v>6.19</v>
      </c>
      <c r="F4" s="1">
        <f t="shared" si="0"/>
        <v>6.1833333333333336</v>
      </c>
      <c r="G4" s="1">
        <f t="shared" si="1"/>
        <v>7.0350000000000001</v>
      </c>
      <c r="I4">
        <v>3</v>
      </c>
      <c r="J4">
        <f t="shared" si="2"/>
        <v>3.2500000000000001E-2</v>
      </c>
      <c r="K4" s="1">
        <f t="shared" si="3"/>
        <v>146.66666666666654</v>
      </c>
      <c r="L4" s="7">
        <f t="shared" si="4"/>
        <v>200.9999999999998</v>
      </c>
    </row>
    <row r="5" spans="1:13" x14ac:dyDescent="0.2">
      <c r="A5">
        <v>4</v>
      </c>
      <c r="B5">
        <v>30</v>
      </c>
      <c r="C5">
        <v>5.23</v>
      </c>
      <c r="D5">
        <v>5.7</v>
      </c>
      <c r="E5">
        <v>5.42</v>
      </c>
      <c r="F5" s="1">
        <f t="shared" si="0"/>
        <v>5.45</v>
      </c>
      <c r="G5" s="1">
        <f t="shared" si="1"/>
        <v>6.03</v>
      </c>
      <c r="I5">
        <v>4</v>
      </c>
      <c r="J5">
        <f t="shared" si="2"/>
        <v>2.75E-2</v>
      </c>
      <c r="K5" s="1">
        <f t="shared" si="3"/>
        <v>132.00000000000009</v>
      </c>
      <c r="L5" s="7">
        <f t="shared" si="4"/>
        <v>201.00000000000009</v>
      </c>
    </row>
    <row r="6" spans="1:13" x14ac:dyDescent="0.2">
      <c r="A6">
        <v>5</v>
      </c>
      <c r="B6">
        <v>25</v>
      </c>
      <c r="C6">
        <v>4.5999999999999996</v>
      </c>
      <c r="D6">
        <v>4.9800000000000004</v>
      </c>
      <c r="E6">
        <v>4.79</v>
      </c>
      <c r="F6" s="1">
        <f t="shared" si="0"/>
        <v>4.79</v>
      </c>
      <c r="G6" s="1">
        <f t="shared" si="1"/>
        <v>5.0250000000000004</v>
      </c>
      <c r="I6">
        <v>5</v>
      </c>
      <c r="J6">
        <f t="shared" si="2"/>
        <v>2.2499999999999999E-2</v>
      </c>
      <c r="K6" s="1">
        <f t="shared" si="3"/>
        <v>156.00000000000003</v>
      </c>
      <c r="L6" s="7">
        <f t="shared" si="4"/>
        <v>200.99999999999994</v>
      </c>
    </row>
    <row r="7" spans="1:13" x14ac:dyDescent="0.2">
      <c r="A7">
        <v>6</v>
      </c>
      <c r="B7">
        <v>20</v>
      </c>
      <c r="C7">
        <v>3.87</v>
      </c>
      <c r="D7">
        <v>4.22</v>
      </c>
      <c r="E7">
        <v>3.94</v>
      </c>
      <c r="F7" s="1">
        <f t="shared" si="0"/>
        <v>4.01</v>
      </c>
      <c r="G7" s="1">
        <f t="shared" si="1"/>
        <v>4.0200000000000005</v>
      </c>
      <c r="I7">
        <v>6</v>
      </c>
      <c r="J7">
        <f t="shared" si="2"/>
        <v>1.7500000000000002E-2</v>
      </c>
      <c r="K7" s="1">
        <f t="shared" si="3"/>
        <v>155.33333333333334</v>
      </c>
      <c r="L7" s="7">
        <f t="shared" si="4"/>
        <v>201.00000000000003</v>
      </c>
    </row>
    <row r="8" spans="1:13" x14ac:dyDescent="0.2">
      <c r="A8">
        <v>7</v>
      </c>
      <c r="B8">
        <v>15</v>
      </c>
      <c r="C8">
        <v>3.15</v>
      </c>
      <c r="D8">
        <v>3.32</v>
      </c>
      <c r="E8">
        <v>3.23</v>
      </c>
      <c r="F8" s="1">
        <f t="shared" si="0"/>
        <v>3.2333333333333329</v>
      </c>
      <c r="G8" s="1">
        <f t="shared" si="1"/>
        <v>3.0150000000000001</v>
      </c>
      <c r="I8">
        <v>7</v>
      </c>
      <c r="J8">
        <f t="shared" si="2"/>
        <v>1.2500000000000001E-2</v>
      </c>
      <c r="K8" s="1">
        <f t="shared" si="3"/>
        <v>139.33333333333329</v>
      </c>
      <c r="L8" s="7">
        <f t="shared" si="4"/>
        <v>201</v>
      </c>
    </row>
    <row r="9" spans="1:13" x14ac:dyDescent="0.2">
      <c r="A9">
        <v>8</v>
      </c>
      <c r="B9">
        <v>10</v>
      </c>
      <c r="C9">
        <v>2.38</v>
      </c>
      <c r="D9">
        <v>2.7</v>
      </c>
      <c r="E9">
        <v>2.5299999999999998</v>
      </c>
      <c r="F9" s="1">
        <f t="shared" si="0"/>
        <v>2.5366666666666666</v>
      </c>
      <c r="G9" s="1">
        <f t="shared" si="1"/>
        <v>2.0100000000000002</v>
      </c>
      <c r="I9">
        <v>8</v>
      </c>
      <c r="J9">
        <f t="shared" si="2"/>
        <v>7.4999999999999997E-3</v>
      </c>
      <c r="K9" s="1">
        <f t="shared" si="3"/>
        <v>140</v>
      </c>
      <c r="L9" s="7">
        <f t="shared" si="4"/>
        <v>201.00000000000003</v>
      </c>
    </row>
    <row r="10" spans="1:13" x14ac:dyDescent="0.2">
      <c r="A10">
        <v>9</v>
      </c>
      <c r="B10">
        <v>5</v>
      </c>
      <c r="C10">
        <v>1.56</v>
      </c>
      <c r="D10">
        <v>2.12</v>
      </c>
      <c r="E10">
        <v>1.83</v>
      </c>
      <c r="F10" s="1">
        <f t="shared" si="0"/>
        <v>1.8366666666666667</v>
      </c>
      <c r="G10" s="1">
        <f t="shared" si="1"/>
        <v>1.0050000000000001</v>
      </c>
    </row>
    <row r="11" spans="1:13" x14ac:dyDescent="0.2">
      <c r="F11" s="1"/>
      <c r="G11" s="1"/>
    </row>
    <row r="13" spans="1:13" x14ac:dyDescent="0.2">
      <c r="A13" t="s">
        <v>7</v>
      </c>
      <c r="B13">
        <v>50</v>
      </c>
      <c r="C13" t="s">
        <v>8</v>
      </c>
    </row>
    <row r="14" spans="1:13" x14ac:dyDescent="0.2">
      <c r="A14" t="s">
        <v>11</v>
      </c>
      <c r="B14">
        <v>5</v>
      </c>
      <c r="C14" t="s">
        <v>8</v>
      </c>
    </row>
    <row r="15" spans="1:13" x14ac:dyDescent="0.2">
      <c r="A15" t="s">
        <v>9</v>
      </c>
      <c r="B15">
        <v>10.050000000000001</v>
      </c>
      <c r="C15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Cylindryczny</vt:lpstr>
      <vt:lpstr>Płaski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Śmietana</dc:creator>
  <cp:lastModifiedBy>Magdalena Śmietana</cp:lastModifiedBy>
  <dcterms:created xsi:type="dcterms:W3CDTF">2025-10-17T12:09:11Z</dcterms:created>
  <dcterms:modified xsi:type="dcterms:W3CDTF">2025-10-21T19:31:03Z</dcterms:modified>
</cp:coreProperties>
</file>