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omeza/Desktop/Fizyka-Lab/lab3/"/>
    </mc:Choice>
  </mc:AlternateContent>
  <xr:revisionPtr revIDLastSave="0" documentId="13_ncr:1_{840BF9ED-C84E-E643-89B2-AD9B6CF1CD5E}" xr6:coauthVersionLast="47" xr6:coauthVersionMax="47" xr10:uidLastSave="{00000000-0000-0000-0000-000000000000}"/>
  <bookViews>
    <workbookView xWindow="0" yWindow="660" windowWidth="30240" windowHeight="18980" xr2:uid="{57C4C638-7895-C144-878A-17F30D214164}"/>
  </bookViews>
  <sheets>
    <sheet name="Sheet1" sheetId="1" r:id="rId1"/>
  </sheets>
  <definedNames>
    <definedName name="_xlchart.v1.0" hidden="1">Sheet1!$B$36</definedName>
    <definedName name="_xlchart.v1.1" hidden="1">Sheet1!$B$37</definedName>
    <definedName name="_xlchart.v1.10" hidden="1">Sheet1!$B$36</definedName>
    <definedName name="_xlchart.v1.11" hidden="1">Sheet1!$B$37</definedName>
    <definedName name="_xlchart.v1.12" hidden="1">Sheet1!$C$34:$W$34</definedName>
    <definedName name="_xlchart.v1.13" hidden="1">Sheet1!$C$36:$W$36</definedName>
    <definedName name="_xlchart.v1.14" hidden="1">Sheet1!$C$37:$W$37</definedName>
    <definedName name="_xlchart.v1.15" hidden="1">Sheet1!$B$36</definedName>
    <definedName name="_xlchart.v1.16" hidden="1">Sheet1!$B$37</definedName>
    <definedName name="_xlchart.v1.17" hidden="1">Sheet1!$C$34:$W$34</definedName>
    <definedName name="_xlchart.v1.18" hidden="1">Sheet1!$C$36:$W$36</definedName>
    <definedName name="_xlchart.v1.19" hidden="1">Sheet1!$C$37:$W$37</definedName>
    <definedName name="_xlchart.v1.2" hidden="1">Sheet1!$C$34:$W$34</definedName>
    <definedName name="_xlchart.v1.20" hidden="1">Sheet1!$B$36</definedName>
    <definedName name="_xlchart.v1.21" hidden="1">Sheet1!$B$37</definedName>
    <definedName name="_xlchart.v1.22" hidden="1">Sheet1!$C$34:$W$34</definedName>
    <definedName name="_xlchart.v1.23" hidden="1">Sheet1!$C$36:$W$36</definedName>
    <definedName name="_xlchart.v1.24" hidden="1">Sheet1!$C$37:$W$37</definedName>
    <definedName name="_xlchart.v1.3" hidden="1">Sheet1!$C$36:$W$36</definedName>
    <definedName name="_xlchart.v1.4" hidden="1">Sheet1!$C$37:$W$37</definedName>
    <definedName name="_xlchart.v1.5" hidden="1">Sheet1!$B$36</definedName>
    <definedName name="_xlchart.v1.6" hidden="1">Sheet1!$B$37</definedName>
    <definedName name="_xlchart.v1.7" hidden="1">Sheet1!$C$34:$W$34</definedName>
    <definedName name="_xlchart.v1.8" hidden="1">Sheet1!$C$36:$W$36</definedName>
    <definedName name="_xlchart.v1.9" hidden="1">Sheet1!$C$37:$W$37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I42" i="1"/>
  <c r="J42" i="1"/>
  <c r="G42" i="1"/>
  <c r="O35" i="1"/>
  <c r="B28" i="1" a="1"/>
  <c r="B28" i="1" s="1"/>
  <c r="E28" i="1" s="1"/>
  <c r="B29" i="1" a="1"/>
  <c r="B29" i="1" s="1"/>
  <c r="E29" i="1" s="1"/>
  <c r="B27" i="1" a="1"/>
  <c r="B27" i="1" s="1"/>
  <c r="E27" i="1" s="1"/>
  <c r="L15" i="1"/>
  <c r="K15" i="1"/>
  <c r="J15" i="1"/>
  <c r="I15" i="1"/>
  <c r="H15" i="1"/>
  <c r="G15" i="1"/>
  <c r="F15" i="1"/>
  <c r="E15" i="1"/>
  <c r="D15" i="1"/>
  <c r="C15" i="1"/>
  <c r="B15" i="1"/>
  <c r="C41" i="1"/>
  <c r="C38" i="1" s="1"/>
  <c r="G27" i="1" l="1"/>
  <c r="G29" i="1"/>
  <c r="G28" i="1"/>
  <c r="E30" i="1"/>
  <c r="C43" i="1" s="1"/>
  <c r="B23" i="1"/>
  <c r="D23" i="1" s="1"/>
  <c r="B22" i="1"/>
  <c r="D22" i="1" s="1"/>
  <c r="B24" i="1"/>
  <c r="D24" i="1" s="1"/>
  <c r="C37" i="1" l="1"/>
  <c r="H37" i="1"/>
  <c r="I37" i="1"/>
  <c r="S37" i="1"/>
  <c r="J37" i="1"/>
  <c r="E37" i="1"/>
  <c r="G37" i="1"/>
  <c r="Q37" i="1"/>
  <c r="P37" i="1"/>
  <c r="T37" i="1"/>
  <c r="K37" i="1"/>
  <c r="U37" i="1"/>
  <c r="M37" i="1"/>
  <c r="L37" i="1"/>
  <c r="V37" i="1"/>
  <c r="W37" i="1"/>
  <c r="C44" i="1"/>
  <c r="D37" i="1" s="1"/>
  <c r="D25" i="1"/>
  <c r="N36" i="1"/>
  <c r="E36" i="1"/>
  <c r="S36" i="1"/>
  <c r="F36" i="1"/>
  <c r="O36" i="1"/>
  <c r="T36" i="1"/>
  <c r="M36" i="1"/>
  <c r="D36" i="1"/>
  <c r="L36" i="1"/>
  <c r="I36" i="1"/>
  <c r="R36" i="1"/>
  <c r="W36" i="1"/>
  <c r="H36" i="1"/>
  <c r="V36" i="1"/>
  <c r="Q36" i="1"/>
  <c r="U36" i="1"/>
  <c r="G36" i="1"/>
  <c r="K36" i="1"/>
  <c r="J36" i="1"/>
  <c r="C36" i="1"/>
  <c r="P36" i="1"/>
  <c r="O37" i="1" l="1"/>
  <c r="F37" i="1"/>
  <c r="N37" i="1"/>
  <c r="R3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<sst xmlns="http://schemas.openxmlformats.org/spreadsheetml/2006/main" count="40" uniqueCount="31">
  <si>
    <t>liczba zwojów</t>
  </si>
  <si>
    <t>prąd cewki [A]</t>
  </si>
  <si>
    <t>średnica cewki [mm]</t>
  </si>
  <si>
    <t>prąd halotronu [mA]</t>
  </si>
  <si>
    <t>Prąd cewki Ic [A]</t>
  </si>
  <si>
    <t>Prąd halotronu I [mA]</t>
  </si>
  <si>
    <t xml:space="preserve">Napięcie U [mV] </t>
  </si>
  <si>
    <t>Odległość x [cm]</t>
  </si>
  <si>
    <t>Napięcie U [mV]</t>
  </si>
  <si>
    <t>kolega wylaczyl zasilanie</t>
  </si>
  <si>
    <t>B_0</t>
  </si>
  <si>
    <t>N</t>
  </si>
  <si>
    <t>R [m]</t>
  </si>
  <si>
    <t>I_s</t>
  </si>
  <si>
    <t>Indukcja cewki [mT]</t>
  </si>
  <si>
    <t>a_5</t>
  </si>
  <si>
    <t>a_10</t>
  </si>
  <si>
    <t>a_14</t>
  </si>
  <si>
    <t>c_5</t>
  </si>
  <si>
    <t>c_10</t>
  </si>
  <si>
    <t>c_14</t>
  </si>
  <si>
    <t>c_avg</t>
  </si>
  <si>
    <t>r_5</t>
  </si>
  <si>
    <t>r_14</t>
  </si>
  <si>
    <t>r_10</t>
  </si>
  <si>
    <t>1/(c*I)</t>
  </si>
  <si>
    <t>R/c</t>
  </si>
  <si>
    <t>Indukcja B_t [mT]</t>
  </si>
  <si>
    <t>[T/V]</t>
  </si>
  <si>
    <t>Indukcja B_rz [mT]</t>
  </si>
  <si>
    <t>Indukcja [mT]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</si>
</sst>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Wykres</a:t>
            </a:r>
            <a:r>
              <a:rPr lang="en-US" baseline="0"/>
              <a:t> napięcia U halotronu w zależności od prądu 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5mA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80189752764321065"/>
                  <c:y val="0.167100333396216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Sheet1!$B$10:$L$10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</c:v>
                </c:pt>
                <c:pt idx="9">
                  <c:v>8.8000000000000007</c:v>
                </c:pt>
                <c:pt idx="10">
                  <c:v>9.6999999999999993</c:v>
                </c:pt>
              </c:numCache>
            </c:numRef>
          </c:xVal>
          <c:yVal>
            <c:numRef>
              <c:f>Sheet1!$B$12:$L$12</c:f>
              <c:numCache>
                <c:formatCode>General</c:formatCode>
                <c:ptCount val="11"/>
                <c:pt idx="0">
                  <c:v>-1.45</c:v>
                </c:pt>
                <c:pt idx="1">
                  <c:v>-1.06</c:v>
                </c:pt>
                <c:pt idx="2">
                  <c:v>-0.67</c:v>
                </c:pt>
                <c:pt idx="3">
                  <c:v>-0.25</c:v>
                </c:pt>
                <c:pt idx="4">
                  <c:v>0.12</c:v>
                </c:pt>
                <c:pt idx="5">
                  <c:v>0.5</c:v>
                </c:pt>
                <c:pt idx="6">
                  <c:v>0.87</c:v>
                </c:pt>
                <c:pt idx="7">
                  <c:v>1.26</c:v>
                </c:pt>
                <c:pt idx="8">
                  <c:v>1.64</c:v>
                </c:pt>
                <c:pt idx="9">
                  <c:v>2.0099999999999998</c:v>
                </c:pt>
                <c:pt idx="10">
                  <c:v>2.37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9-4D42-9D08-80966C6F14BB}"/>
            </c:ext>
          </c:extLst>
        </c:ser>
        <c:ser>
          <c:idx val="1"/>
          <c:order val="1"/>
          <c:tx>
            <c:strRef>
              <c:f>Sheet1!$A$13</c:f>
              <c:strCache>
                <c:ptCount val="1"/>
                <c:pt idx="0">
                  <c:v>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10mA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77493298041152525"/>
                  <c:y val="0.336770135534923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Sheet1!$B$10:$L$10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</c:v>
                </c:pt>
                <c:pt idx="9">
                  <c:v>8.8000000000000007</c:v>
                </c:pt>
                <c:pt idx="10">
                  <c:v>9.6999999999999993</c:v>
                </c:pt>
              </c:numCache>
            </c:numRef>
          </c:xVal>
          <c:yVal>
            <c:numRef>
              <c:f>Sheet1!$B$13:$L$13</c:f>
              <c:numCache>
                <c:formatCode>General</c:formatCode>
                <c:ptCount val="11"/>
                <c:pt idx="0">
                  <c:v>-4.7</c:v>
                </c:pt>
                <c:pt idx="1">
                  <c:v>-3.8</c:v>
                </c:pt>
                <c:pt idx="2">
                  <c:v>-3.2</c:v>
                </c:pt>
                <c:pt idx="3">
                  <c:v>-2.42</c:v>
                </c:pt>
                <c:pt idx="4">
                  <c:v>-1.6</c:v>
                </c:pt>
                <c:pt idx="5">
                  <c:v>-0.82</c:v>
                </c:pt>
                <c:pt idx="6">
                  <c:v>-0.1</c:v>
                </c:pt>
                <c:pt idx="7">
                  <c:v>0.54</c:v>
                </c:pt>
                <c:pt idx="8">
                  <c:v>1.26</c:v>
                </c:pt>
                <c:pt idx="9">
                  <c:v>2</c:v>
                </c:pt>
                <c:pt idx="10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9-4D42-9D08-80966C6F14BB}"/>
            </c:ext>
          </c:extLst>
        </c:ser>
        <c:ser>
          <c:idx val="2"/>
          <c:order val="2"/>
          <c:tx>
            <c:strRef>
              <c:f>Sheet1!$A$14</c:f>
              <c:strCache>
                <c:ptCount val="1"/>
                <c:pt idx="0">
                  <c:v>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name>14mA</c:nam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78392116282208701"/>
                  <c:y val="0.589218804062847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Sheet1!$B$10:$L$10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</c:v>
                </c:pt>
                <c:pt idx="9">
                  <c:v>8.8000000000000007</c:v>
                </c:pt>
                <c:pt idx="10">
                  <c:v>9.6999999999999993</c:v>
                </c:pt>
              </c:numCache>
            </c:numRef>
          </c:xVal>
          <c:yVal>
            <c:numRef>
              <c:f>Sheet1!$B$14:$L$14</c:f>
              <c:numCache>
                <c:formatCode>General</c:formatCode>
                <c:ptCount val="11"/>
                <c:pt idx="0">
                  <c:v>-6</c:v>
                </c:pt>
                <c:pt idx="1">
                  <c:v>-4.3</c:v>
                </c:pt>
                <c:pt idx="2">
                  <c:v>-3.43</c:v>
                </c:pt>
                <c:pt idx="3">
                  <c:v>-2.4500000000000002</c:v>
                </c:pt>
                <c:pt idx="4">
                  <c:v>-1.38</c:v>
                </c:pt>
                <c:pt idx="5">
                  <c:v>-0.45</c:v>
                </c:pt>
                <c:pt idx="6">
                  <c:v>0.55000000000000004</c:v>
                </c:pt>
                <c:pt idx="7">
                  <c:v>1.55</c:v>
                </c:pt>
                <c:pt idx="8">
                  <c:v>2.5499999999999998</c:v>
                </c:pt>
                <c:pt idx="9">
                  <c:v>3.56</c:v>
                </c:pt>
                <c:pt idx="10">
                  <c:v>4.5199999999999996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69-4D42-9D08-80966C6F1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567424"/>
        <c:axId val="1405580864"/>
      </c:scatterChart>
      <c:valAx>
        <c:axId val="1405567424"/>
        <c:scaling>
          <c:orientation val="minMax"/>
          <c:max val="1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80864"/>
        <c:crosses val="autoZero"/>
        <c:crossBetween val="midCat"/>
      </c:valAx>
      <c:valAx>
        <c:axId val="140558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674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Zależność B[mT]</a:t>
            </a:r>
            <a:r>
              <a:rPr lang="en-US" baseline="0"/>
              <a:t> w zależności od odległości od środka cewki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Sheet1!$B$36</c:f>
              <c:strCache>
                <c:ptCount val="1"/>
                <c:pt idx="0">
                  <c:v>Indukcja B_t [mT]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Sheet1!$C$34:$W$34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Sheet1!$C$36:$W$36</c:f>
              <c:numCache>
                <c:formatCode>0.00</c:formatCode>
                <c:ptCount val="21"/>
                <c:pt idx="0">
                  <c:v>7.7568778610453437</c:v>
                </c:pt>
                <c:pt idx="1">
                  <c:v>7.6617021130409011</c:v>
                </c:pt>
                <c:pt idx="2">
                  <c:v>7.3875424446409612</c:v>
                </c:pt>
                <c:pt idx="3">
                  <c:v>6.9654628481359468</c:v>
                </c:pt>
                <c:pt idx="4">
                  <c:v>6.4384919625856183</c:v>
                </c:pt>
                <c:pt idx="5">
                  <c:v>5.8524232226751316</c:v>
                </c:pt>
                <c:pt idx="6">
                  <c:v>5.2482622725844976</c:v>
                </c:pt>
                <c:pt idx="7">
                  <c:v>4.6579157240299827</c:v>
                </c:pt>
                <c:pt idx="8">
                  <c:v>4.1030557316699907</c:v>
                </c:pt>
                <c:pt idx="9">
                  <c:v>3.5961512920284524</c:v>
                </c:pt>
                <c:pt idx="10">
                  <c:v>3.1425094915513876</c:v>
                </c:pt>
                <c:pt idx="11">
                  <c:v>2.7424704681904823</c:v>
                </c:pt>
                <c:pt idx="12">
                  <c:v>2.393294802808394</c:v>
                </c:pt>
                <c:pt idx="13">
                  <c:v>2.0905858750120658</c:v>
                </c:pt>
                <c:pt idx="14">
                  <c:v>1.8292628533410984</c:v>
                </c:pt>
                <c:pt idx="15">
                  <c:v>1.6041717368106754</c:v>
                </c:pt>
                <c:pt idx="16">
                  <c:v>1.410434697484104</c:v>
                </c:pt>
                <c:pt idx="17">
                  <c:v>1.2436243690615909</c:v>
                </c:pt>
                <c:pt idx="18">
                  <c:v>1.0998285575528679</c:v>
                </c:pt>
                <c:pt idx="19">
                  <c:v>0.97565090394196352</c:v>
                </c:pt>
                <c:pt idx="20">
                  <c:v>0.86817729480338701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F9-BD43-A8C9-5BD712D42E78}"/>
            </c:ext>
          </c:extLst>
        </c:ser>
        <c:ser>
          <c:idx val="2"/>
          <c:order val="1"/>
          <c:tx>
            <c:strRef>
              <c:f>Sheet1!$B$37</c:f>
              <c:strCache>
                <c:ptCount val="1"/>
                <c:pt idx="0">
                  <c:v>Indukcja B_rz [mT]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Sheet1!$C$34:$W$34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Sheet1!$C$37:$W$37</c:f>
              <c:numCache>
                <c:formatCode>0.00</c:formatCode>
                <c:ptCount val="21"/>
                <c:pt idx="0">
                  <c:v>6.5891647553625479</c:v>
                </c:pt>
                <c:pt idx="1">
                  <c:v>6.4391123697014949</c:v>
                </c:pt>
                <c:pt idx="2">
                  <c:v>6.1840233140777041</c:v>
                </c:pt>
                <c:pt idx="3">
                  <c:v>5.7413687763775982</c:v>
                </c:pt>
                <c:pt idx="4">
                  <c:v>5.2837090001113864</c:v>
                </c:pt>
                <c:pt idx="5">
                  <c:v>4.7360177924485427</c:v>
                </c:pt>
                <c:pt idx="6">
                  <c:v>4.13580824980433</c:v>
                </c:pt>
                <c:pt idx="7">
                  <c:v>3.5881170421414863</c:v>
                </c:pt>
                <c:pt idx="8">
                  <c:v>3.100446788743064</c:v>
                </c:pt>
                <c:pt idx="9">
                  <c:v>2.6127765353446417</c:v>
                </c:pt>
                <c:pt idx="10">
                  <c:v>2.1401115205123245</c:v>
                </c:pt>
                <c:pt idx="11">
                  <c:v>1.7424726985105337</c:v>
                </c:pt>
                <c:pt idx="12">
                  <c:v>1.3898495922070588</c:v>
                </c:pt>
                <c:pt idx="13">
                  <c:v>1.0822422016018995</c:v>
                </c:pt>
                <c:pt idx="14">
                  <c:v>0.8121479074120046</c:v>
                </c:pt>
                <c:pt idx="15">
                  <c:v>0.5945719482034777</c:v>
                </c:pt>
                <c:pt idx="16">
                  <c:v>0.42201170469326632</c:v>
                </c:pt>
                <c:pt idx="17">
                  <c:v>1.074739582318847</c:v>
                </c:pt>
                <c:pt idx="18">
                  <c:v>1.037226485903584</c:v>
                </c:pt>
                <c:pt idx="19">
                  <c:v>0.92468719665779409</c:v>
                </c:pt>
                <c:pt idx="20">
                  <c:v>0.88717410024253107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F9-BD43-A8C9-5BD712D42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417472"/>
        <c:axId val="842419264"/>
      </c:scatterChart>
      <c:valAx>
        <c:axId val="84241747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19264"/>
        <c:crosses val="autoZero"/>
        <c:crossBetween val="midCat"/>
      </c:valAx>
      <c:valAx>
        <c:axId val="8424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1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Sheet1!$F$42</c:f>
              <c:strCache>
                <c:ptCount val="1"/>
                <c:pt idx="0">
                  <c:v>Indukcja [mT]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Sheet1!$G$40:$J$40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</c:numCache>
            </c:numRef>
          </c:xVal>
          <c:yVal>
            <c:numRef>
              <c:f>Sheet1!$G$42:$J$42</c:f>
              <c:numCache>
                <c:formatCode>0.00</c:formatCode>
                <c:ptCount val="4"/>
                <c:pt idx="0">
                  <c:v>273.37107379174722</c:v>
                </c:pt>
                <c:pt idx="1">
                  <c:v>46.19176190091288</c:v>
                </c:pt>
                <c:pt idx="2">
                  <c:v>1.8512819380716872</c:v>
                </c:pt>
                <c:pt idx="3">
                  <c:v>0.55332880210357871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9F-0B48-B01E-66FAF87B8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439552"/>
        <c:axId val="1069441344"/>
      </c:scatterChart>
      <c:valAx>
        <c:axId val="106943955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41344"/>
        <c:crosses val="autoZero"/>
        <c:crossBetween val="midCat"/>
      </c:valAx>
      <c:valAx>
        <c:axId val="10694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43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1353</xdr:colOff>
      <xdr:row>1</xdr:row>
      <xdr:rowOff>27018</xdr:rowOff>
    </xdr:from>
    <xdr:to>
      <xdr:col>24</xdr:col>
      <xdr:colOff>776941</xdr:colOff>
      <xdr:row>28</xdr:row>
      <xdr:rowOff>89647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254B6-02B1-1E2E-3ED4-22B8AC93F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807039</xdr:colOff>
      <xdr:row>39</xdr:row>
      <xdr:rowOff>4232</xdr:rowOff>
    </xdr:from>
    <xdr:to>
      <xdr:col>20</xdr:col>
      <xdr:colOff>120885</xdr:colOff>
      <xdr:row>56</xdr:row>
      <xdr:rowOff>27019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C684D-2DBA-41B6-965D-78012BAF5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889000</xdr:colOff>
      <xdr:row>45</xdr:row>
      <xdr:rowOff>5509</xdr:rowOff>
    </xdr:from>
    <xdr:to>
      <xdr:col>10</xdr:col>
      <xdr:colOff>29072</xdr:colOff>
      <xdr:row>58</xdr:row>
      <xdr:rowOff>162806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7C051E-CD12-3E5F-8DA9-5D3E29CC4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0C41-3D00-5C47-9F63-8AE535CBD2C7}">
  <dimension ref="A2:W44"/>
  <sheetViews>
    <sheetView tabSelected="1" topLeftCell="A34" zoomScale="101" zoomScaleNormal="109" workbookViewId="0">
      <selection activeCell="M65" sqref="M65"/>
    </sheetView>
  </sheetViews>
  <sheetFormatPr baseColWidth="10" defaultRowHeight="16" x14ac:dyDescent="0.2"/>
  <cols>
    <col min="1" max="1" width="19" bestFit="1" customWidth="1"/>
    <col min="2" max="2" width="18.1640625" bestFit="1" customWidth="1"/>
    <col min="3" max="3" width="12.83203125" bestFit="1" customWidth="1"/>
    <col min="5" max="5" width="13.1640625" bestFit="1" customWidth="1"/>
    <col min="6" max="6" width="14.6640625" bestFit="1" customWidth="1"/>
  </cols>
  <sheetData>
    <row r="2" spans="1:12" x14ac:dyDescent="0.2">
      <c r="A2" t="s">
        <v>0</v>
      </c>
      <c r="B2" t="s">
        <v>2</v>
      </c>
      <c r="C2" t="s">
        <v>1</v>
      </c>
    </row>
    <row r="3" spans="1:12" x14ac:dyDescent="0.2">
      <c r="A3">
        <v>70</v>
      </c>
      <c r="B3">
        <v>110</v>
      </c>
      <c r="C3">
        <v>10</v>
      </c>
    </row>
    <row r="6" spans="1:12" x14ac:dyDescent="0.2">
      <c r="A6" t="s">
        <v>3</v>
      </c>
    </row>
    <row r="7" spans="1:12" x14ac:dyDescent="0.2">
      <c r="A7">
        <v>5</v>
      </c>
    </row>
    <row r="10" spans="1:12" x14ac:dyDescent="0.2">
      <c r="A10" t="s">
        <v>4</v>
      </c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7.9</v>
      </c>
      <c r="K10">
        <v>8.8000000000000007</v>
      </c>
      <c r="L10">
        <v>9.6999999999999993</v>
      </c>
    </row>
    <row r="11" spans="1:12" x14ac:dyDescent="0.2">
      <c r="A11" t="s">
        <v>5</v>
      </c>
      <c r="B11" s="3" t="s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>
        <v>5</v>
      </c>
      <c r="B12">
        <v>-1.45</v>
      </c>
      <c r="C12">
        <v>-1.06</v>
      </c>
      <c r="D12">
        <v>-0.67</v>
      </c>
      <c r="E12">
        <v>-0.25</v>
      </c>
      <c r="F12">
        <v>0.12</v>
      </c>
      <c r="G12">
        <v>0.5</v>
      </c>
      <c r="H12">
        <v>0.87</v>
      </c>
      <c r="I12">
        <v>1.26</v>
      </c>
      <c r="J12">
        <v>1.64</v>
      </c>
      <c r="K12">
        <v>2.0099999999999998</v>
      </c>
      <c r="L12">
        <v>2.37</v>
      </c>
    </row>
    <row r="13" spans="1:12" x14ac:dyDescent="0.2">
      <c r="A13">
        <v>10</v>
      </c>
      <c r="B13">
        <v>-4.7</v>
      </c>
      <c r="C13">
        <v>-3.8</v>
      </c>
      <c r="D13">
        <v>-3.2</v>
      </c>
      <c r="E13">
        <v>-2.42</v>
      </c>
      <c r="F13">
        <v>-1.6</v>
      </c>
      <c r="G13">
        <v>-0.82</v>
      </c>
      <c r="H13">
        <v>-0.1</v>
      </c>
      <c r="I13">
        <v>0.54</v>
      </c>
      <c r="J13">
        <v>1.26</v>
      </c>
      <c r="K13">
        <v>2</v>
      </c>
      <c r="L13">
        <v>2.75</v>
      </c>
    </row>
    <row r="14" spans="1:12" x14ac:dyDescent="0.2">
      <c r="A14">
        <v>14</v>
      </c>
      <c r="B14">
        <v>-6</v>
      </c>
      <c r="C14">
        <v>-4.3</v>
      </c>
      <c r="D14">
        <v>-3.43</v>
      </c>
      <c r="E14">
        <v>-2.4500000000000002</v>
      </c>
      <c r="F14">
        <v>-1.38</v>
      </c>
      <c r="G14">
        <v>-0.45</v>
      </c>
      <c r="H14">
        <v>0.55000000000000004</v>
      </c>
      <c r="I14">
        <v>1.55</v>
      </c>
      <c r="J14">
        <v>2.5499999999999998</v>
      </c>
      <c r="K14">
        <v>3.56</v>
      </c>
      <c r="L14">
        <v>4.5199999999999996</v>
      </c>
    </row>
    <row r="15" spans="1:12" x14ac:dyDescent="0.2">
      <c r="A15" t="s">
        <v>14</v>
      </c>
      <c r="B15" s="2">
        <f xml:space="preserve"> (4*PI()*10^-7 * $A$3 * B10) / ($B$3) * 1000</f>
        <v>0</v>
      </c>
      <c r="C15" s="2">
        <f xml:space="preserve"> (4*PI()*10^-7 * $A$3 * C10) / ($B$3) * 1000</f>
        <v>7.9967813000467473E-4</v>
      </c>
      <c r="D15" s="2">
        <f xml:space="preserve"> (4*PI()*10^-7 * $A$3 * D10) / ($B$3) * 1000</f>
        <v>1.5993562600093495E-3</v>
      </c>
      <c r="E15" s="2">
        <f xml:space="preserve"> (4*PI()*10^-7 * $A$3 * E10) / ($B$3) * 1000</f>
        <v>2.3990343900140237E-3</v>
      </c>
      <c r="F15" s="2">
        <f xml:space="preserve"> (4*PI()*10^-7 * $A$3 * F10) / ($B$3) * 1000</f>
        <v>3.1987125200186989E-3</v>
      </c>
      <c r="G15" s="2">
        <f xml:space="preserve"> (4*PI()*10^-7 * $A$3 * G10) / ($B$3) * 1000</f>
        <v>3.9983906500233729E-3</v>
      </c>
      <c r="H15" s="2">
        <f xml:space="preserve"> (4*PI()*10^-7 * $A$3 * H10) / ($B$3) * 1000</f>
        <v>4.7980687800280473E-3</v>
      </c>
      <c r="I15" s="2">
        <f xml:space="preserve"> (4*PI()*10^-7 * $A$3 * I10) / ($B$3) * 1000</f>
        <v>5.5977469100327226E-3</v>
      </c>
      <c r="J15" s="2">
        <f xml:space="preserve"> (4*PI()*10^-7 * $A$3 * J10) / ($B$3) * 1000</f>
        <v>6.3174572270369303E-3</v>
      </c>
      <c r="K15" s="2">
        <f xml:space="preserve"> (4*PI()*10^-7 * $A$3 * K10) / ($B$3) * 1000</f>
        <v>7.0371675440411372E-3</v>
      </c>
      <c r="L15" s="2">
        <f xml:space="preserve"> (4*PI()*10^-7 * $A$3 * L10) / ($B$3) * 1000</f>
        <v>7.7568778610453441E-3</v>
      </c>
    </row>
    <row r="22" spans="1:7" x14ac:dyDescent="0.2">
      <c r="A22" t="s">
        <v>15</v>
      </c>
      <c r="B22">
        <f>SLOPE(B12:L12,$B$15:$L$15)</f>
        <v>489.84703443408409</v>
      </c>
      <c r="C22" t="s">
        <v>18</v>
      </c>
      <c r="D22">
        <f>B22/A12</f>
        <v>97.969406886816813</v>
      </c>
    </row>
    <row r="23" spans="1:7" x14ac:dyDescent="0.2">
      <c r="A23" t="s">
        <v>16</v>
      </c>
      <c r="B23">
        <f>SLOPE(B13:L13,$B$15:$L$15)</f>
        <v>945.84212420725271</v>
      </c>
      <c r="C23" t="s">
        <v>19</v>
      </c>
      <c r="D23">
        <f>B23/A13</f>
        <v>94.584212420725265</v>
      </c>
    </row>
    <row r="24" spans="1:7" x14ac:dyDescent="0.2">
      <c r="A24" t="s">
        <v>17</v>
      </c>
      <c r="B24">
        <f>SLOPE(B14:L14,$B$15:$L$15)</f>
        <v>1302.8528664306698</v>
      </c>
      <c r="C24" t="s">
        <v>20</v>
      </c>
      <c r="D24">
        <f>B24/A14</f>
        <v>93.060919030762122</v>
      </c>
    </row>
    <row r="25" spans="1:7" x14ac:dyDescent="0.2">
      <c r="C25" t="s">
        <v>21</v>
      </c>
      <c r="D25">
        <f>AVERAGE(D22:D24)</f>
        <v>95.204846112768067</v>
      </c>
    </row>
    <row r="27" spans="1:7" x14ac:dyDescent="0.2">
      <c r="A27" t="s">
        <v>15</v>
      </c>
      <c r="B27" cm="1">
        <f t="array" ref="B27:C27">LINEST(B12:L12,$B$10:$L$10,TRUE,FALSE)</f>
        <v>0.39171996048458391</v>
      </c>
      <c r="C27">
        <v>-1.4517787136692153</v>
      </c>
      <c r="D27" t="s">
        <v>18</v>
      </c>
      <c r="E27" s="1">
        <f>(B27*($B$3/1000))/(A12*4*PI()*10^-7*$A$3)</f>
        <v>97.969406886816842</v>
      </c>
      <c r="F27" t="s">
        <v>22</v>
      </c>
      <c r="G27">
        <f>C27/A12</f>
        <v>-0.29035574273384307</v>
      </c>
    </row>
    <row r="28" spans="1:7" x14ac:dyDescent="0.2">
      <c r="A28" t="s">
        <v>16</v>
      </c>
      <c r="B28" cm="1">
        <f t="array" ref="B28:C28">LINEST(B13:L13,$B$10:$L$10,TRUE,FALSE)</f>
        <v>0.75636926116570491</v>
      </c>
      <c r="C28">
        <v>-4.6578625279467598</v>
      </c>
      <c r="D28" t="s">
        <v>19</v>
      </c>
      <c r="E28" s="1">
        <f>(B28*($B$3/1000))/(A13*4*PI()*10^-7*$A$3)</f>
        <v>94.584212420725251</v>
      </c>
      <c r="F28" t="s">
        <v>24</v>
      </c>
      <c r="G28">
        <f>C28/A13</f>
        <v>-0.465786252794676</v>
      </c>
    </row>
    <row r="29" spans="1:7" x14ac:dyDescent="0.2">
      <c r="A29" t="s">
        <v>17</v>
      </c>
      <c r="B29" cm="1">
        <f t="array" ref="B29:C29">LINEST(B14:L14,$B$10:$L$10,TRUE,FALSE)</f>
        <v>1.0418629438985079</v>
      </c>
      <c r="C29">
        <v>-5.63248583164353</v>
      </c>
      <c r="D29" t="s">
        <v>20</v>
      </c>
      <c r="E29" s="1">
        <f>(B29*($B$3/1000))/(A14*4*PI()*10^-7*$A$3)</f>
        <v>93.060919030762108</v>
      </c>
      <c r="F29" t="s">
        <v>23</v>
      </c>
      <c r="G29">
        <f>C29/A14</f>
        <v>-0.40232041654596645</v>
      </c>
    </row>
    <row r="30" spans="1:7" x14ac:dyDescent="0.2">
      <c r="D30" t="s">
        <v>21</v>
      </c>
      <c r="E30">
        <f>AVERAGE(E27:E29)</f>
        <v>95.204846112768067</v>
      </c>
    </row>
    <row r="33" spans="2:23" x14ac:dyDescent="0.2">
      <c r="S33" t="s">
        <v>9</v>
      </c>
    </row>
    <row r="34" spans="2:23" x14ac:dyDescent="0.2">
      <c r="B34" t="s">
        <v>7</v>
      </c>
      <c r="C34">
        <v>0</v>
      </c>
      <c r="D34">
        <v>0.5</v>
      </c>
      <c r="E34">
        <v>1</v>
      </c>
      <c r="F34">
        <v>1.5</v>
      </c>
      <c r="G34">
        <v>2</v>
      </c>
      <c r="H34">
        <v>2.5</v>
      </c>
      <c r="I34">
        <v>3</v>
      </c>
      <c r="J34">
        <v>3.5</v>
      </c>
      <c r="K34">
        <v>4</v>
      </c>
      <c r="L34">
        <v>4.5</v>
      </c>
      <c r="M34">
        <v>5</v>
      </c>
      <c r="N34">
        <v>5.5</v>
      </c>
      <c r="O34">
        <v>6</v>
      </c>
      <c r="P34">
        <v>6.5</v>
      </c>
      <c r="Q34">
        <v>7</v>
      </c>
      <c r="R34">
        <v>7.5</v>
      </c>
      <c r="S34">
        <v>8</v>
      </c>
      <c r="T34">
        <v>8.5</v>
      </c>
      <c r="U34">
        <v>9</v>
      </c>
      <c r="V34">
        <v>9.5</v>
      </c>
      <c r="W34">
        <v>10</v>
      </c>
    </row>
    <row r="35" spans="2:23" x14ac:dyDescent="0.2">
      <c r="B35" t="s">
        <v>8</v>
      </c>
      <c r="C35">
        <v>3.15</v>
      </c>
      <c r="D35">
        <v>2.95</v>
      </c>
      <c r="E35">
        <v>2.61</v>
      </c>
      <c r="F35">
        <v>2.02</v>
      </c>
      <c r="G35">
        <v>1.41</v>
      </c>
      <c r="H35">
        <v>0.68</v>
      </c>
      <c r="I35">
        <v>-0.12</v>
      </c>
      <c r="J35">
        <v>-0.85</v>
      </c>
      <c r="K35">
        <v>-1.5</v>
      </c>
      <c r="L35">
        <v>-2.15</v>
      </c>
      <c r="M35">
        <v>-2.78</v>
      </c>
      <c r="N35">
        <v>-3.31</v>
      </c>
      <c r="O35">
        <f>-3.78</f>
        <v>-3.78</v>
      </c>
      <c r="P35">
        <v>-4.1900000000000004</v>
      </c>
      <c r="Q35">
        <v>-4.55</v>
      </c>
      <c r="R35">
        <v>-4.84</v>
      </c>
      <c r="S35">
        <v>-5.07</v>
      </c>
      <c r="T35">
        <v>-4.2</v>
      </c>
      <c r="U35">
        <v>-4.25</v>
      </c>
      <c r="V35">
        <v>-4.4000000000000004</v>
      </c>
      <c r="W35">
        <v>-4.45</v>
      </c>
    </row>
    <row r="36" spans="2:23" x14ac:dyDescent="0.2">
      <c r="B36" t="s">
        <v>27</v>
      </c>
      <c r="C36" s="1">
        <f>$C$38/POWER(1+(POWER(C34/100, 2)/POWER($C$41, 2)), 1.5)</f>
        <v>7.7568778610453437</v>
      </c>
      <c r="D36" s="1">
        <f t="shared" ref="D36:W36" si="0">$C$38/POWER(1+(POWER(D34/100, 2)/POWER($C$41, 2)), 1.5)</f>
        <v>7.6617021130409011</v>
      </c>
      <c r="E36" s="1">
        <f t="shared" si="0"/>
        <v>7.3875424446409612</v>
      </c>
      <c r="F36" s="1">
        <f t="shared" si="0"/>
        <v>6.9654628481359468</v>
      </c>
      <c r="G36" s="1">
        <f t="shared" si="0"/>
        <v>6.4384919625856183</v>
      </c>
      <c r="H36" s="1">
        <f t="shared" si="0"/>
        <v>5.8524232226751316</v>
      </c>
      <c r="I36" s="1">
        <f t="shared" si="0"/>
        <v>5.2482622725844976</v>
      </c>
      <c r="J36" s="1">
        <f t="shared" si="0"/>
        <v>4.6579157240299827</v>
      </c>
      <c r="K36" s="1">
        <f t="shared" si="0"/>
        <v>4.1030557316699907</v>
      </c>
      <c r="L36" s="1">
        <f t="shared" si="0"/>
        <v>3.5961512920284524</v>
      </c>
      <c r="M36" s="1">
        <f t="shared" si="0"/>
        <v>3.1425094915513876</v>
      </c>
      <c r="N36" s="1">
        <f t="shared" si="0"/>
        <v>2.7424704681904823</v>
      </c>
      <c r="O36" s="1">
        <f t="shared" si="0"/>
        <v>2.393294802808394</v>
      </c>
      <c r="P36" s="1">
        <f t="shared" si="0"/>
        <v>2.0905858750120658</v>
      </c>
      <c r="Q36" s="1">
        <f t="shared" si="0"/>
        <v>1.8292628533410984</v>
      </c>
      <c r="R36" s="1">
        <f t="shared" si="0"/>
        <v>1.6041717368106754</v>
      </c>
      <c r="S36" s="1">
        <f t="shared" si="0"/>
        <v>1.410434697484104</v>
      </c>
      <c r="T36" s="1">
        <f t="shared" si="0"/>
        <v>1.2436243690615909</v>
      </c>
      <c r="U36" s="1">
        <f t="shared" si="0"/>
        <v>1.0998285575528679</v>
      </c>
      <c r="V36" s="1">
        <f t="shared" si="0"/>
        <v>0.97565090394196352</v>
      </c>
      <c r="W36" s="1">
        <f t="shared" si="0"/>
        <v>0.86817729480338701</v>
      </c>
    </row>
    <row r="37" spans="2:23" x14ac:dyDescent="0.2">
      <c r="B37" t="s">
        <v>29</v>
      </c>
      <c r="C37" s="1">
        <f>(C35*$C$43)-$C$44 * 1000</f>
        <v>6.5891647553625479</v>
      </c>
      <c r="D37" s="1">
        <f t="shared" ref="D37:W37" si="1">(D35*$C$43)-$C$44 * 1000</f>
        <v>6.4391123697014949</v>
      </c>
      <c r="E37" s="1">
        <f t="shared" si="1"/>
        <v>6.1840233140777041</v>
      </c>
      <c r="F37" s="1">
        <f t="shared" si="1"/>
        <v>5.7413687763775982</v>
      </c>
      <c r="G37" s="1">
        <f t="shared" si="1"/>
        <v>5.2837090001113864</v>
      </c>
      <c r="H37" s="1">
        <f t="shared" si="1"/>
        <v>4.7360177924485427</v>
      </c>
      <c r="I37" s="1">
        <f t="shared" si="1"/>
        <v>4.13580824980433</v>
      </c>
      <c r="J37" s="1">
        <f t="shared" si="1"/>
        <v>3.5881170421414863</v>
      </c>
      <c r="K37" s="1">
        <f t="shared" si="1"/>
        <v>3.100446788743064</v>
      </c>
      <c r="L37" s="1">
        <f t="shared" si="1"/>
        <v>2.6127765353446417</v>
      </c>
      <c r="M37" s="1">
        <f t="shared" si="1"/>
        <v>2.1401115205123245</v>
      </c>
      <c r="N37" s="1">
        <f t="shared" si="1"/>
        <v>1.7424726985105337</v>
      </c>
      <c r="O37" s="1">
        <f t="shared" si="1"/>
        <v>1.3898495922070588</v>
      </c>
      <c r="P37" s="1">
        <f t="shared" si="1"/>
        <v>1.0822422016018995</v>
      </c>
      <c r="Q37" s="1">
        <f t="shared" si="1"/>
        <v>0.8121479074120046</v>
      </c>
      <c r="R37" s="1">
        <f t="shared" si="1"/>
        <v>0.5945719482034777</v>
      </c>
      <c r="S37" s="1">
        <f t="shared" si="1"/>
        <v>0.42201170469326632</v>
      </c>
      <c r="T37" s="1">
        <f t="shared" si="1"/>
        <v>1.074739582318847</v>
      </c>
      <c r="U37" s="1">
        <f t="shared" si="1"/>
        <v>1.037226485903584</v>
      </c>
      <c r="V37" s="1">
        <f t="shared" si="1"/>
        <v>0.92468719665779409</v>
      </c>
      <c r="W37" s="1">
        <f t="shared" si="1"/>
        <v>0.88717410024253107</v>
      </c>
    </row>
    <row r="38" spans="2:23" x14ac:dyDescent="0.2">
      <c r="B38" t="s">
        <v>10</v>
      </c>
      <c r="C38">
        <f>(4 * PI() * POWER(10, -7)*C40*C42)/(2*C41) * 1000</f>
        <v>7.7568778610453437</v>
      </c>
    </row>
    <row r="40" spans="2:23" x14ac:dyDescent="0.2">
      <c r="B40" t="s">
        <v>11</v>
      </c>
      <c r="C40">
        <v>70</v>
      </c>
      <c r="F40" t="s">
        <v>7</v>
      </c>
      <c r="G40">
        <v>0</v>
      </c>
      <c r="H40">
        <v>1</v>
      </c>
      <c r="I40">
        <v>5</v>
      </c>
      <c r="J40">
        <v>10</v>
      </c>
    </row>
    <row r="41" spans="2:23" x14ac:dyDescent="0.2">
      <c r="B41" t="s">
        <v>12</v>
      </c>
      <c r="C41">
        <f>B3/2/1000</f>
        <v>5.5E-2</v>
      </c>
      <c r="F41" t="s">
        <v>8</v>
      </c>
      <c r="G41">
        <v>-370</v>
      </c>
      <c r="H41">
        <v>-67.2</v>
      </c>
      <c r="I41">
        <v>-8.1</v>
      </c>
      <c r="J41">
        <v>-6.37</v>
      </c>
    </row>
    <row r="42" spans="2:23" x14ac:dyDescent="0.2">
      <c r="B42" t="s">
        <v>13</v>
      </c>
      <c r="C42">
        <v>9.6999999999999993</v>
      </c>
      <c r="F42" t="s">
        <v>30</v>
      </c>
      <c r="G42" s="1">
        <f>ABS((G41*$C$43)-$C$44 * 1000)</f>
        <v>273.37107379174722</v>
      </c>
      <c r="H42" s="1">
        <f t="shared" ref="H42:J42" si="2">ABS((H41*$C$43)-$C$44 * 1000)</f>
        <v>46.19176190091288</v>
      </c>
      <c r="I42" s="1">
        <f t="shared" si="2"/>
        <v>1.8512819380716872</v>
      </c>
      <c r="J42" s="1">
        <f t="shared" si="2"/>
        <v>0.55332880210357871</v>
      </c>
    </row>
    <row r="43" spans="2:23" x14ac:dyDescent="0.2">
      <c r="B43" t="s">
        <v>25</v>
      </c>
      <c r="C43">
        <f>1/(E30*(14/1000))</f>
        <v>0.75026192830526539</v>
      </c>
      <c r="D43" t="s">
        <v>28</v>
      </c>
    </row>
    <row r="44" spans="2:23" x14ac:dyDescent="0.2">
      <c r="B44" t="s">
        <v>26</v>
      </c>
      <c r="C44">
        <f>G29/E30</f>
        <v>-4.2258396812009623E-3</v>
      </c>
    </row>
  </sheetData>
  <mergeCells count="1">
    <mergeCell ref="B11:L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Śmietana</dc:creator>
  <cp:lastModifiedBy>Dawid Komęza</cp:lastModifiedBy>
  <dcterms:created xsi:type="dcterms:W3CDTF">2025-10-24T11:22:22Z</dcterms:created>
  <dcterms:modified xsi:type="dcterms:W3CDTF">2025-11-04T13:47:53Z</dcterms:modified>
</cp:coreProperties>
</file>