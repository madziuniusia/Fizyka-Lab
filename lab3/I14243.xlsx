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gdalenasmietana/Documents/Fizyka/Fizyka-Lab/lab3/"/>
    </mc:Choice>
  </mc:AlternateContent>
  <xr:revisionPtr revIDLastSave="0" documentId="13_ncr:1_{E1C4800E-3F9B-4C41-B804-01B1B84EAC09}" xr6:coauthVersionLast="47" xr6:coauthVersionMax="47" xr10:uidLastSave="{00000000-0000-0000-0000-000000000000}"/>
  <bookViews>
    <workbookView xWindow="0" yWindow="660" windowWidth="29400" windowHeight="18460" xr2:uid="{57C4C638-7895-C144-878A-17F30D2141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C36" i="1"/>
  <c r="C37" i="1"/>
  <c r="C40" i="1"/>
  <c r="O35" i="1"/>
</calcChain>
</file>

<file path=xl/sharedStrings.xml><?xml version="1.0" encoding="utf-8"?>
<sst xmlns="http://schemas.openxmlformats.org/spreadsheetml/2006/main" count="17" uniqueCount="15">
  <si>
    <t>liczba zwojów</t>
  </si>
  <si>
    <t>prąd cewki [A]</t>
  </si>
  <si>
    <t>średnica cewki [mm]</t>
  </si>
  <si>
    <t>prąd halotronu [mA]</t>
  </si>
  <si>
    <t>Prąd cewki Ic [A]</t>
  </si>
  <si>
    <t>Prąd halotronu I [mA]</t>
  </si>
  <si>
    <t xml:space="preserve">Napięcie U [mV] </t>
  </si>
  <si>
    <t>Odległość x [cm]</t>
  </si>
  <si>
    <t>Napięcie U [mV]</t>
  </si>
  <si>
    <t>Indukcja B</t>
  </si>
  <si>
    <t>kolega wylaczyl zasilanie</t>
  </si>
  <si>
    <t>B_0</t>
  </si>
  <si>
    <t>N</t>
  </si>
  <si>
    <t>R [m]</t>
  </si>
  <si>
    <t>I_s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</si>
</sst>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cat>
          <c:val>
            <c:numRef>
              <c:f>Sheet1!$B$12:$L$12</c:f>
              <c:numCache>
                <c:formatCode>General</c:formatCode>
                <c:ptCount val="11"/>
                <c:pt idx="0">
                  <c:v>-1.45</c:v>
                </c:pt>
                <c:pt idx="1">
                  <c:v>-1.06</c:v>
                </c:pt>
                <c:pt idx="2">
                  <c:v>-0.67</c:v>
                </c:pt>
                <c:pt idx="3">
                  <c:v>-0.25</c:v>
                </c:pt>
                <c:pt idx="4">
                  <c:v>0.12</c:v>
                </c:pt>
                <c:pt idx="5">
                  <c:v>0.5</c:v>
                </c:pt>
                <c:pt idx="6">
                  <c:v>0.87</c:v>
                </c:pt>
                <c:pt idx="7">
                  <c:v>1.26</c:v>
                </c:pt>
                <c:pt idx="8">
                  <c:v>1.64</c:v>
                </c:pt>
                <c:pt idx="9">
                  <c:v>2.0099999999999998</c:v>
                </c:pt>
                <c:pt idx="10">
                  <c:v>2.37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9-4D42-9D08-80966C6F14BB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cat>
          <c:val>
            <c:numRef>
              <c:f>Sheet1!$B$13:$L$13</c:f>
              <c:numCache>
                <c:formatCode>General</c:formatCode>
                <c:ptCount val="11"/>
                <c:pt idx="0">
                  <c:v>-4.7</c:v>
                </c:pt>
                <c:pt idx="1">
                  <c:v>-3.8</c:v>
                </c:pt>
                <c:pt idx="2">
                  <c:v>-3.2</c:v>
                </c:pt>
                <c:pt idx="3">
                  <c:v>-2.42</c:v>
                </c:pt>
                <c:pt idx="4">
                  <c:v>-1.6</c:v>
                </c:pt>
                <c:pt idx="5">
                  <c:v>-0.82</c:v>
                </c:pt>
                <c:pt idx="6">
                  <c:v>-0.1</c:v>
                </c:pt>
                <c:pt idx="7">
                  <c:v>0.54</c:v>
                </c:pt>
                <c:pt idx="8">
                  <c:v>1.26</c:v>
                </c:pt>
                <c:pt idx="9">
                  <c:v>2</c:v>
                </c:pt>
                <c:pt idx="10">
                  <c:v>2.75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69-4D42-9D08-80966C6F14BB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14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cat>
          <c:val>
            <c:numRef>
              <c:f>Sheet1!$B$14:$L$14</c:f>
              <c:numCache>
                <c:formatCode>General</c:formatCode>
                <c:ptCount val="11"/>
                <c:pt idx="0">
                  <c:v>-6</c:v>
                </c:pt>
                <c:pt idx="1">
                  <c:v>-4.3</c:v>
                </c:pt>
                <c:pt idx="2">
                  <c:v>-3.43</c:v>
                </c:pt>
                <c:pt idx="3">
                  <c:v>-2.4500000000000002</c:v>
                </c:pt>
                <c:pt idx="4">
                  <c:v>-1.38</c:v>
                </c:pt>
                <c:pt idx="5">
                  <c:v>-0.45</c:v>
                </c:pt>
                <c:pt idx="6">
                  <c:v>0.55000000000000004</c:v>
                </c:pt>
                <c:pt idx="7">
                  <c:v>1.55</c:v>
                </c:pt>
                <c:pt idx="8">
                  <c:v>2.5499999999999998</c:v>
                </c:pt>
                <c:pt idx="9">
                  <c:v>3.56</c:v>
                </c:pt>
                <c:pt idx="10">
                  <c:v>4.5199999999999996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69-4D42-9D08-80966C6F1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5567424"/>
        <c:axId val="1405580864"/>
      </c:lineChart>
      <c:catAx>
        <c:axId val="1405567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80864"/>
        <c:crosses val="autoZero"/>
        <c:auto val="1"/>
        <c:lblAlgn val="ctr"/>
        <c:lblOffset val="100"/>
        <c:noMultiLvlLbl val="0"/>
      </c:catAx>
      <c:valAx>
        <c:axId val="140558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6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69850</xdr:colOff>
      <xdr:row>17</xdr:row>
      <xdr:rowOff>44450</xdr:rowOff>
    </xdr:from>
    <xdr:to>
      <xdr:col>10</xdr:col>
      <xdr:colOff>514350</xdr:colOff>
      <xdr:row>30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5254B6-02B1-1E2E-3ED4-22B8AC93F6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B0C41-3D00-5C47-9F63-8AE535CBD2C7}">
  <dimension ref="A2:W41"/>
  <sheetViews>
    <sheetView tabSelected="1" topLeftCell="A10" zoomScale="109" zoomScaleNormal="109" workbookViewId="0">
      <selection activeCell="J37" sqref="J37"/>
    </sheetView>
  </sheetViews>
  <sheetFormatPr baseColWidth="10" defaultRowHeight="16" x14ac:dyDescent="0.2"/>
  <cols>
    <col min="1" max="1" width="19" bestFit="1" customWidth="1"/>
    <col min="2" max="2" width="18.1640625" bestFit="1" customWidth="1"/>
    <col min="3" max="3" width="12.83203125" bestFit="1" customWidth="1"/>
  </cols>
  <sheetData>
    <row r="2" spans="1:12" x14ac:dyDescent="0.2">
      <c r="A2" t="s">
        <v>0</v>
      </c>
      <c r="B2" t="s">
        <v>2</v>
      </c>
      <c r="C2" t="s">
        <v>1</v>
      </c>
    </row>
    <row r="3" spans="1:12" x14ac:dyDescent="0.2">
      <c r="A3">
        <v>70</v>
      </c>
      <c r="B3">
        <v>110</v>
      </c>
      <c r="C3">
        <v>10</v>
      </c>
    </row>
    <row r="6" spans="1:12" x14ac:dyDescent="0.2">
      <c r="A6" t="s">
        <v>3</v>
      </c>
    </row>
    <row r="7" spans="1:12" x14ac:dyDescent="0.2">
      <c r="A7">
        <v>5</v>
      </c>
    </row>
    <row r="10" spans="1:12" x14ac:dyDescent="0.2">
      <c r="A10" t="s">
        <v>4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7.9</v>
      </c>
      <c r="K10">
        <v>8.8000000000000007</v>
      </c>
      <c r="L10">
        <v>9.6999999999999993</v>
      </c>
    </row>
    <row r="11" spans="1:12" x14ac:dyDescent="0.2">
      <c r="A11" t="s">
        <v>5</v>
      </c>
      <c r="B11" s="1" t="s">
        <v>6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">
      <c r="A12">
        <v>5</v>
      </c>
      <c r="B12">
        <v>-1.45</v>
      </c>
      <c r="C12">
        <v>-1.06</v>
      </c>
      <c r="D12">
        <v>-0.67</v>
      </c>
      <c r="E12">
        <v>-0.25</v>
      </c>
      <c r="F12">
        <v>0.12</v>
      </c>
      <c r="G12">
        <v>0.5</v>
      </c>
      <c r="H12">
        <v>0.87</v>
      </c>
      <c r="I12">
        <v>1.26</v>
      </c>
      <c r="J12">
        <v>1.64</v>
      </c>
      <c r="K12">
        <v>2.0099999999999998</v>
      </c>
      <c r="L12">
        <v>2.37</v>
      </c>
    </row>
    <row r="13" spans="1:12" x14ac:dyDescent="0.2">
      <c r="A13">
        <v>10</v>
      </c>
      <c r="B13">
        <v>-4.7</v>
      </c>
      <c r="C13">
        <v>-3.8</v>
      </c>
      <c r="D13">
        <v>-3.2</v>
      </c>
      <c r="E13">
        <v>-2.42</v>
      </c>
      <c r="F13">
        <v>-1.6</v>
      </c>
      <c r="G13">
        <v>-0.82</v>
      </c>
      <c r="H13">
        <v>-0.1</v>
      </c>
      <c r="I13">
        <v>0.54</v>
      </c>
      <c r="J13">
        <v>1.26</v>
      </c>
      <c r="K13">
        <v>2</v>
      </c>
      <c r="L13">
        <v>2.75</v>
      </c>
    </row>
    <row r="14" spans="1:12" x14ac:dyDescent="0.2">
      <c r="A14">
        <v>14</v>
      </c>
      <c r="B14">
        <v>-6</v>
      </c>
      <c r="C14">
        <v>-4.3</v>
      </c>
      <c r="D14">
        <v>-3.43</v>
      </c>
      <c r="E14">
        <v>-2.4500000000000002</v>
      </c>
      <c r="F14">
        <v>-1.38</v>
      </c>
      <c r="G14">
        <v>-0.45</v>
      </c>
      <c r="H14">
        <v>0.55000000000000004</v>
      </c>
      <c r="I14">
        <v>1.55</v>
      </c>
      <c r="J14">
        <v>2.5499999999999998</v>
      </c>
      <c r="K14">
        <v>3.56</v>
      </c>
      <c r="L14">
        <v>4.5199999999999996</v>
      </c>
    </row>
    <row r="33" spans="2:23" x14ac:dyDescent="0.2">
      <c r="S33" t="s">
        <v>10</v>
      </c>
    </row>
    <row r="34" spans="2:23" x14ac:dyDescent="0.2">
      <c r="B34" t="s">
        <v>7</v>
      </c>
      <c r="C34">
        <v>0</v>
      </c>
      <c r="D34">
        <v>0.5</v>
      </c>
      <c r="E34">
        <v>1</v>
      </c>
      <c r="F34">
        <v>1.5</v>
      </c>
      <c r="G34">
        <v>2</v>
      </c>
      <c r="H34">
        <v>2.5</v>
      </c>
      <c r="I34">
        <v>3</v>
      </c>
      <c r="J34">
        <v>3.5</v>
      </c>
      <c r="K34">
        <v>4</v>
      </c>
      <c r="L34">
        <v>4.5</v>
      </c>
      <c r="M34">
        <v>5</v>
      </c>
      <c r="N34">
        <v>5.5</v>
      </c>
      <c r="O34">
        <v>6</v>
      </c>
      <c r="P34">
        <v>6.5</v>
      </c>
      <c r="Q34">
        <v>7</v>
      </c>
      <c r="R34">
        <v>7.5</v>
      </c>
      <c r="S34">
        <v>8</v>
      </c>
      <c r="T34">
        <v>8.5</v>
      </c>
      <c r="U34">
        <v>9</v>
      </c>
      <c r="V34">
        <v>9.5</v>
      </c>
      <c r="W34">
        <v>10</v>
      </c>
    </row>
    <row r="35" spans="2:23" x14ac:dyDescent="0.2">
      <c r="B35" t="s">
        <v>8</v>
      </c>
      <c r="C35">
        <v>3.15</v>
      </c>
      <c r="D35">
        <v>2.95</v>
      </c>
      <c r="E35">
        <v>2.61</v>
      </c>
      <c r="F35">
        <v>2.02</v>
      </c>
      <c r="G35">
        <v>1.41</v>
      </c>
      <c r="H35">
        <v>0.68</v>
      </c>
      <c r="I35">
        <v>-0.12</v>
      </c>
      <c r="J35">
        <v>-0.85</v>
      </c>
      <c r="K35">
        <v>-1.5</v>
      </c>
      <c r="L35">
        <v>-2.15</v>
      </c>
      <c r="M35">
        <v>-2.78</v>
      </c>
      <c r="N35">
        <v>-3.31</v>
      </c>
      <c r="O35">
        <f>--3.78</f>
        <v>3.78</v>
      </c>
      <c r="P35">
        <v>-4.1900000000000004</v>
      </c>
      <c r="Q35">
        <v>-4.55</v>
      </c>
      <c r="R35">
        <v>-4.84</v>
      </c>
      <c r="S35">
        <v>-5.07</v>
      </c>
      <c r="T35">
        <v>-4.2</v>
      </c>
      <c r="U35">
        <v>-4.25</v>
      </c>
      <c r="V35">
        <v>-4.4000000000000004</v>
      </c>
      <c r="W35">
        <v>-4.45</v>
      </c>
    </row>
    <row r="36" spans="2:23" x14ac:dyDescent="0.2">
      <c r="B36" t="s">
        <v>9</v>
      </c>
      <c r="C36" s="2">
        <f>$C$37/POWER(1+(POWER(C34/100, 2)/POWER($C$40, 2)), 1.5)</f>
        <v>7.7568778610453437</v>
      </c>
      <c r="D36" s="2">
        <f t="shared" ref="D36:W36" si="0">$C$37/POWER(1+(POWER(D34/100, 2)/POWER($C$40, 2)), 1.5)</f>
        <v>7.6617021130409011</v>
      </c>
      <c r="E36" s="2">
        <f t="shared" si="0"/>
        <v>7.3875424446409612</v>
      </c>
      <c r="F36" s="2">
        <f t="shared" si="0"/>
        <v>6.9654628481359468</v>
      </c>
      <c r="G36" s="2">
        <f t="shared" si="0"/>
        <v>6.4384919625856183</v>
      </c>
      <c r="H36" s="2">
        <f t="shared" si="0"/>
        <v>5.8524232226751316</v>
      </c>
      <c r="I36" s="2">
        <f t="shared" si="0"/>
        <v>5.2482622725844976</v>
      </c>
      <c r="J36" s="2">
        <f t="shared" si="0"/>
        <v>4.6579157240299827</v>
      </c>
      <c r="K36" s="2">
        <f t="shared" si="0"/>
        <v>4.1030557316699907</v>
      </c>
      <c r="L36" s="2">
        <f t="shared" si="0"/>
        <v>3.5961512920284524</v>
      </c>
      <c r="M36" s="2">
        <f t="shared" si="0"/>
        <v>3.1425094915513876</v>
      </c>
      <c r="N36" s="2">
        <f t="shared" si="0"/>
        <v>2.7424704681904823</v>
      </c>
      <c r="O36" s="2">
        <f t="shared" si="0"/>
        <v>2.393294802808394</v>
      </c>
      <c r="P36" s="2">
        <f t="shared" si="0"/>
        <v>2.0905858750120658</v>
      </c>
      <c r="Q36" s="2">
        <f t="shared" si="0"/>
        <v>1.8292628533410984</v>
      </c>
      <c r="R36" s="2">
        <f t="shared" si="0"/>
        <v>1.6041717368106754</v>
      </c>
      <c r="S36" s="2">
        <f t="shared" si="0"/>
        <v>1.410434697484104</v>
      </c>
      <c r="T36" s="2">
        <f t="shared" si="0"/>
        <v>1.2436243690615909</v>
      </c>
      <c r="U36" s="2">
        <f t="shared" si="0"/>
        <v>1.0998285575528679</v>
      </c>
      <c r="V36" s="2">
        <f t="shared" si="0"/>
        <v>0.97565090394196352</v>
      </c>
      <c r="W36" s="2">
        <f t="shared" si="0"/>
        <v>0.86817729480338701</v>
      </c>
    </row>
    <row r="37" spans="2:23" x14ac:dyDescent="0.2">
      <c r="B37" t="s">
        <v>11</v>
      </c>
      <c r="C37">
        <f>(4 * PI() * POWER(10, -7)*C39*C41)/(2*C40) * 1000</f>
        <v>7.7568778610453437</v>
      </c>
    </row>
    <row r="39" spans="2:23" x14ac:dyDescent="0.2">
      <c r="B39" t="s">
        <v>12</v>
      </c>
      <c r="C39">
        <v>70</v>
      </c>
      <c r="F39" t="s">
        <v>7</v>
      </c>
      <c r="G39">
        <v>0</v>
      </c>
      <c r="H39">
        <v>5</v>
      </c>
      <c r="I39">
        <v>10</v>
      </c>
      <c r="J39">
        <v>1</v>
      </c>
    </row>
    <row r="40" spans="2:23" x14ac:dyDescent="0.2">
      <c r="B40" t="s">
        <v>13</v>
      </c>
      <c r="C40">
        <f>B3/2/1000</f>
        <v>5.5E-2</v>
      </c>
      <c r="F40" t="s">
        <v>8</v>
      </c>
      <c r="G40">
        <v>-370</v>
      </c>
      <c r="H40">
        <v>-8.1</v>
      </c>
      <c r="I40">
        <v>-6.37</v>
      </c>
      <c r="J40">
        <v>-67.2</v>
      </c>
    </row>
    <row r="41" spans="2:23" x14ac:dyDescent="0.2">
      <c r="B41" t="s">
        <v>14</v>
      </c>
      <c r="C41">
        <v>9.6999999999999993</v>
      </c>
    </row>
  </sheetData>
  <mergeCells count="1">
    <mergeCell ref="B11:L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Magdalena Śmietana</dc:creator>
  <cp:lastModifiedBy>Magdalena Śmietana</cp:lastModifiedBy>
  <dcterms:created xsi:type="dcterms:W3CDTF">2025-10-24T11:22:22Z</dcterms:created>
  <dcterms:modified xsi:type="dcterms:W3CDTF">2025-10-24T12:39:16Z</dcterms:modified>
</cp:coreProperties>
</file>