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komeza/Desktop/Fizyka-Lab/lab3/"/>
    </mc:Choice>
  </mc:AlternateContent>
  <xr:revisionPtr revIDLastSave="0" documentId="13_ncr:1_{C186806F-6C01-1245-BA06-DAE97DF8BFDC}" xr6:coauthVersionLast="47" xr6:coauthVersionMax="47" xr10:uidLastSave="{00000000-0000-0000-0000-000000000000}"/>
  <bookViews>
    <workbookView xWindow="0" yWindow="660" windowWidth="30240" windowHeight="18980" xr2:uid="{57C4C638-7895-C144-878A-17F30D214164}"/>
  </bookViews>
  <sheets>
    <sheet name="Sheet1" sheetId="1" r:id="rId1"/>
  </sheets>
  <definedNames>
    <definedName name="_xlchart.v1.0" hidden="1">Sheet1!$A$12</definedName>
    <definedName name="_xlchart.v1.1" hidden="1">Sheet1!$A$13</definedName>
    <definedName name="_xlchart.v1.10" hidden="1">Sheet1!$B$10:$L$10</definedName>
    <definedName name="_xlchart.v1.11" hidden="1">Sheet1!$B$12:$L$12</definedName>
    <definedName name="_xlchart.v1.12" hidden="1">Sheet1!$B$13:$L$13</definedName>
    <definedName name="_xlchart.v1.13" hidden="1">Sheet1!$B$14:$L$14</definedName>
    <definedName name="_xlchart.v1.14" hidden="1">Sheet1!$A$12</definedName>
    <definedName name="_xlchart.v1.15" hidden="1">Sheet1!$A$13</definedName>
    <definedName name="_xlchart.v1.16" hidden="1">Sheet1!$A$14</definedName>
    <definedName name="_xlchart.v1.17" hidden="1">Sheet1!$B$10:$L$10</definedName>
    <definedName name="_xlchart.v1.18" hidden="1">Sheet1!$B$12:$L$12</definedName>
    <definedName name="_xlchart.v1.19" hidden="1">Sheet1!$B$13:$L$13</definedName>
    <definedName name="_xlchart.v1.2" hidden="1">Sheet1!$A$14</definedName>
    <definedName name="_xlchart.v1.20" hidden="1">Sheet1!$B$14:$L$14</definedName>
    <definedName name="_xlchart.v1.3" hidden="1">Sheet1!$B$10:$L$10</definedName>
    <definedName name="_xlchart.v1.4" hidden="1">Sheet1!$B$12:$L$12</definedName>
    <definedName name="_xlchart.v1.5" hidden="1">Sheet1!$B$13:$L$13</definedName>
    <definedName name="_xlchart.v1.6" hidden="1">Sheet1!$B$14:$L$14</definedName>
    <definedName name="_xlchart.v1.7" hidden="1">Sheet1!$A$12</definedName>
    <definedName name="_xlchart.v1.8" hidden="1">Sheet1!$A$13</definedName>
    <definedName name="_xlchart.v1.9" hidden="1">Sheet1!$A$14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3" i="1" l="1"/>
  <c r="E31" i="1"/>
  <c r="E32" i="1"/>
  <c r="B31" i="1" a="1"/>
  <c r="B31" i="1" s="1"/>
  <c r="B32" i="1" a="1"/>
  <c r="B32" i="1" s="1"/>
  <c r="B30" i="1" a="1"/>
  <c r="B30" i="1" s="1"/>
  <c r="E30" i="1" s="1"/>
  <c r="B16" i="1"/>
  <c r="C16" i="1"/>
  <c r="D16" i="1"/>
  <c r="E16" i="1"/>
  <c r="F16" i="1"/>
  <c r="G16" i="1"/>
  <c r="H16" i="1"/>
  <c r="I16" i="1"/>
  <c r="J16" i="1"/>
  <c r="K16" i="1"/>
  <c r="L16" i="1"/>
  <c r="B17" i="1"/>
  <c r="C17" i="1"/>
  <c r="D17" i="1"/>
  <c r="E17" i="1"/>
  <c r="F17" i="1"/>
  <c r="G17" i="1"/>
  <c r="H17" i="1"/>
  <c r="I17" i="1"/>
  <c r="J17" i="1"/>
  <c r="K17" i="1"/>
  <c r="L17" i="1"/>
  <c r="C15" i="1"/>
  <c r="D15" i="1"/>
  <c r="E15" i="1"/>
  <c r="F15" i="1"/>
  <c r="G15" i="1"/>
  <c r="H15" i="1"/>
  <c r="I15" i="1"/>
  <c r="J15" i="1"/>
  <c r="K15" i="1"/>
  <c r="L15" i="1"/>
  <c r="B15" i="1"/>
  <c r="L18" i="1"/>
  <c r="K18" i="1"/>
  <c r="J18" i="1"/>
  <c r="I18" i="1"/>
  <c r="H18" i="1"/>
  <c r="G18" i="1"/>
  <c r="F18" i="1"/>
  <c r="E18" i="1"/>
  <c r="D18" i="1"/>
  <c r="C18" i="1"/>
  <c r="B18" i="1"/>
  <c r="C43" i="1"/>
  <c r="C40" i="1" s="1"/>
  <c r="O38" i="1"/>
  <c r="B26" i="1" l="1"/>
  <c r="D26" i="1" s="1"/>
  <c r="B25" i="1"/>
  <c r="D25" i="1" s="1"/>
  <c r="B27" i="1"/>
  <c r="D27" i="1" s="1"/>
  <c r="D39" i="1"/>
  <c r="E39" i="1"/>
  <c r="O39" i="1"/>
  <c r="P39" i="1"/>
  <c r="F39" i="1"/>
  <c r="G39" i="1"/>
  <c r="Q39" i="1"/>
  <c r="H39" i="1"/>
  <c r="R39" i="1"/>
  <c r="I39" i="1"/>
  <c r="S39" i="1"/>
  <c r="T39" i="1"/>
  <c r="N39" i="1"/>
  <c r="J39" i="1"/>
  <c r="K39" i="1"/>
  <c r="U39" i="1"/>
  <c r="V39" i="1"/>
  <c r="W39" i="1"/>
  <c r="C39" i="1"/>
  <c r="L39" i="1"/>
  <c r="M39" i="1"/>
  <c r="D28" i="1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<sst xmlns="http://schemas.openxmlformats.org/spreadsheetml/2006/main" count="32" uniqueCount="23">
  <si>
    <t>liczba zwojów</t>
  </si>
  <si>
    <t>prąd cewki [A]</t>
  </si>
  <si>
    <t>średnica cewki [mm]</t>
  </si>
  <si>
    <t>prąd halotronu [mA]</t>
  </si>
  <si>
    <t>Prąd cewki Ic [A]</t>
  </si>
  <si>
    <t>Prąd halotronu I [mA]</t>
  </si>
  <si>
    <t xml:space="preserve">Napięcie U [mV] </t>
  </si>
  <si>
    <t>Odległość x [cm]</t>
  </si>
  <si>
    <t>Napięcie U [mV]</t>
  </si>
  <si>
    <t>Indukcja B</t>
  </si>
  <si>
    <t>kolega wylaczyl zasilanie</t>
  </si>
  <si>
    <t>B_0</t>
  </si>
  <si>
    <t>N</t>
  </si>
  <si>
    <t>R [m]</t>
  </si>
  <si>
    <t>I_s</t>
  </si>
  <si>
    <t>Indukcja cewki [mT]</t>
  </si>
  <si>
    <t>a_5</t>
  </si>
  <si>
    <t>a_10</t>
  </si>
  <si>
    <t>a_14</t>
  </si>
  <si>
    <t>c_5</t>
  </si>
  <si>
    <t>c_10</t>
  </si>
  <si>
    <t>c_14</t>
  </si>
  <si>
    <t>c_avg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</si>
</sst>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0" fillId="0" borderId="0" xfId="0" applyAlignment="1">
      <alignment horizontal="center"/>
    </xf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Wykres</a:t>
            </a:r>
            <a:r>
              <a:rPr lang="en-US" baseline="0"/>
              <a:t> napięcia U halotronu w zależności od prądu I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Sheet1!$A$12</c:f>
              <c:strCache>
                <c:ptCount val="1"/>
                <c:pt idx="0">
                  <c:v>5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name>5mA</c:nam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80189752764321065"/>
                  <c:y val="0.1671003333962160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Sheet1!$B$10:$L$10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7.9</c:v>
                </c:pt>
                <c:pt idx="9">
                  <c:v>8.8000000000000007</c:v>
                </c:pt>
                <c:pt idx="10">
                  <c:v>9.6999999999999993</c:v>
                </c:pt>
              </c:numCache>
            </c:numRef>
          </c:xVal>
          <c:yVal>
            <c:numRef>
              <c:f>Sheet1!$B$12:$L$12</c:f>
              <c:numCache>
                <c:formatCode>General</c:formatCode>
                <c:ptCount val="11"/>
                <c:pt idx="0">
                  <c:v>-1.45</c:v>
                </c:pt>
                <c:pt idx="1">
                  <c:v>-1.06</c:v>
                </c:pt>
                <c:pt idx="2">
                  <c:v>-0.67</c:v>
                </c:pt>
                <c:pt idx="3">
                  <c:v>-0.25</c:v>
                </c:pt>
                <c:pt idx="4">
                  <c:v>0.12</c:v>
                </c:pt>
                <c:pt idx="5">
                  <c:v>0.5</c:v>
                </c:pt>
                <c:pt idx="6">
                  <c:v>0.87</c:v>
                </c:pt>
                <c:pt idx="7">
                  <c:v>1.26</c:v>
                </c:pt>
                <c:pt idx="8">
                  <c:v>1.64</c:v>
                </c:pt>
                <c:pt idx="9">
                  <c:v>2.0099999999999998</c:v>
                </c:pt>
                <c:pt idx="10">
                  <c:v>2.37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569-4D42-9D08-80966C6F14BB}"/>
            </c:ext>
          </c:extLst>
        </c:ser>
        <c:ser>
          <c:idx val="1"/>
          <c:order val="1"/>
          <c:tx>
            <c:strRef>
              <c:f>Sheet1!$A$13</c:f>
              <c:strCache>
                <c:ptCount val="1"/>
                <c:pt idx="0">
                  <c:v>10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name>10mA</c:nam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77493298041152525"/>
                  <c:y val="0.3367701355349235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Sheet1!$B$10:$L$10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7.9</c:v>
                </c:pt>
                <c:pt idx="9">
                  <c:v>8.8000000000000007</c:v>
                </c:pt>
                <c:pt idx="10">
                  <c:v>9.6999999999999993</c:v>
                </c:pt>
              </c:numCache>
            </c:numRef>
          </c:xVal>
          <c:yVal>
            <c:numRef>
              <c:f>Sheet1!$B$13:$L$13</c:f>
              <c:numCache>
                <c:formatCode>General</c:formatCode>
                <c:ptCount val="11"/>
                <c:pt idx="0">
                  <c:v>-4.7</c:v>
                </c:pt>
                <c:pt idx="1">
                  <c:v>-3.8</c:v>
                </c:pt>
                <c:pt idx="2">
                  <c:v>-3.2</c:v>
                </c:pt>
                <c:pt idx="3">
                  <c:v>-2.42</c:v>
                </c:pt>
                <c:pt idx="4">
                  <c:v>-1.6</c:v>
                </c:pt>
                <c:pt idx="5">
                  <c:v>-0.82</c:v>
                </c:pt>
                <c:pt idx="6">
                  <c:v>-0.1</c:v>
                </c:pt>
                <c:pt idx="7">
                  <c:v>0.54</c:v>
                </c:pt>
                <c:pt idx="8">
                  <c:v>1.26</c:v>
                </c:pt>
                <c:pt idx="9">
                  <c:v>2</c:v>
                </c:pt>
                <c:pt idx="10">
                  <c:v>2.75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69-4D42-9D08-80966C6F14BB}"/>
            </c:ext>
          </c:extLst>
        </c:ser>
        <c:ser>
          <c:idx val="2"/>
          <c:order val="2"/>
          <c:tx>
            <c:strRef>
              <c:f>Sheet1!$A$14</c:f>
              <c:strCache>
                <c:ptCount val="1"/>
                <c:pt idx="0">
                  <c:v>14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name>14mA</c:nam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78392116282208701"/>
                  <c:y val="0.5892188040628475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Sheet1!$B$10:$L$10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7.9</c:v>
                </c:pt>
                <c:pt idx="9">
                  <c:v>8.8000000000000007</c:v>
                </c:pt>
                <c:pt idx="10">
                  <c:v>9.6999999999999993</c:v>
                </c:pt>
              </c:numCache>
            </c:numRef>
          </c:xVal>
          <c:yVal>
            <c:numRef>
              <c:f>Sheet1!$B$14:$L$14</c:f>
              <c:numCache>
                <c:formatCode>General</c:formatCode>
                <c:ptCount val="11"/>
                <c:pt idx="0">
                  <c:v>-6</c:v>
                </c:pt>
                <c:pt idx="1">
                  <c:v>-4.3</c:v>
                </c:pt>
                <c:pt idx="2">
                  <c:v>-3.43</c:v>
                </c:pt>
                <c:pt idx="3">
                  <c:v>-2.4500000000000002</c:v>
                </c:pt>
                <c:pt idx="4">
                  <c:v>-1.38</c:v>
                </c:pt>
                <c:pt idx="5">
                  <c:v>-0.45</c:v>
                </c:pt>
                <c:pt idx="6">
                  <c:v>0.55000000000000004</c:v>
                </c:pt>
                <c:pt idx="7">
                  <c:v>1.55</c:v>
                </c:pt>
                <c:pt idx="8">
                  <c:v>2.5499999999999998</c:v>
                </c:pt>
                <c:pt idx="9">
                  <c:v>3.56</c:v>
                </c:pt>
                <c:pt idx="10">
                  <c:v>4.5199999999999996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569-4D42-9D08-80966C6F14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5567424"/>
        <c:axId val="1405580864"/>
      </c:scatterChart>
      <c:valAx>
        <c:axId val="1405567424"/>
        <c:scaling>
          <c:orientation val="minMax"/>
          <c:max val="10"/>
        </c:scaling>
        <c:delete val="0"/>
        <c:axPos val="b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5580864"/>
        <c:crosses val="autoZero"/>
        <c:crossBetween val="midCat"/>
      </c:valAx>
      <c:valAx>
        <c:axId val="1405580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5567424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1353</xdr:colOff>
      <xdr:row>1</xdr:row>
      <xdr:rowOff>27018</xdr:rowOff>
    </xdr:from>
    <xdr:to>
      <xdr:col>24</xdr:col>
      <xdr:colOff>776941</xdr:colOff>
      <xdr:row>31</xdr:row>
      <xdr:rowOff>89647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B5254B6-02B1-1E2E-3ED4-22B8AC93F6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1B0C41-3D00-5C47-9F63-8AE535CBD2C7}">
  <dimension ref="A2:W44"/>
  <sheetViews>
    <sheetView tabSelected="1" topLeftCell="A8" zoomScale="131" zoomScaleNormal="109" workbookViewId="0">
      <selection activeCell="B30" sqref="B30"/>
    </sheetView>
  </sheetViews>
  <sheetFormatPr baseColWidth="10" defaultRowHeight="16" x14ac:dyDescent="0.2"/>
  <cols>
    <col min="1" max="1" width="19" bestFit="1" customWidth="1"/>
    <col min="2" max="2" width="18.1640625" bestFit="1" customWidth="1"/>
    <col min="3" max="3" width="12.83203125" bestFit="1" customWidth="1"/>
    <col min="5" max="5" width="12.1640625" bestFit="1" customWidth="1"/>
  </cols>
  <sheetData>
    <row r="2" spans="1:12" x14ac:dyDescent="0.2">
      <c r="A2" t="s">
        <v>0</v>
      </c>
      <c r="B2" t="s">
        <v>2</v>
      </c>
      <c r="C2" t="s">
        <v>1</v>
      </c>
    </row>
    <row r="3" spans="1:12" x14ac:dyDescent="0.2">
      <c r="A3">
        <v>70</v>
      </c>
      <c r="B3">
        <v>110</v>
      </c>
      <c r="C3">
        <v>10</v>
      </c>
    </row>
    <row r="6" spans="1:12" x14ac:dyDescent="0.2">
      <c r="A6" t="s">
        <v>3</v>
      </c>
    </row>
    <row r="7" spans="1:12" x14ac:dyDescent="0.2">
      <c r="A7">
        <v>5</v>
      </c>
    </row>
    <row r="10" spans="1:12" x14ac:dyDescent="0.2">
      <c r="A10" t="s">
        <v>4</v>
      </c>
      <c r="B10">
        <v>0</v>
      </c>
      <c r="C10">
        <v>1</v>
      </c>
      <c r="D10">
        <v>2</v>
      </c>
      <c r="E10">
        <v>3</v>
      </c>
      <c r="F10">
        <v>4</v>
      </c>
      <c r="G10">
        <v>5</v>
      </c>
      <c r="H10">
        <v>6</v>
      </c>
      <c r="I10">
        <v>7</v>
      </c>
      <c r="J10">
        <v>7.9</v>
      </c>
      <c r="K10">
        <v>8.8000000000000007</v>
      </c>
      <c r="L10">
        <v>9.6999999999999993</v>
      </c>
    </row>
    <row r="11" spans="1:12" x14ac:dyDescent="0.2">
      <c r="A11" t="s">
        <v>5</v>
      </c>
      <c r="B11" s="2" t="s">
        <v>6</v>
      </c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2" x14ac:dyDescent="0.2">
      <c r="A12">
        <v>5</v>
      </c>
      <c r="B12">
        <v>-1.45</v>
      </c>
      <c r="C12">
        <v>-1.06</v>
      </c>
      <c r="D12">
        <v>-0.67</v>
      </c>
      <c r="E12">
        <v>-0.25</v>
      </c>
      <c r="F12">
        <v>0.12</v>
      </c>
      <c r="G12">
        <v>0.5</v>
      </c>
      <c r="H12">
        <v>0.87</v>
      </c>
      <c r="I12">
        <v>1.26</v>
      </c>
      <c r="J12">
        <v>1.64</v>
      </c>
      <c r="K12">
        <v>2.0099999999999998</v>
      </c>
      <c r="L12">
        <v>2.37</v>
      </c>
    </row>
    <row r="13" spans="1:12" x14ac:dyDescent="0.2">
      <c r="A13">
        <v>10</v>
      </c>
      <c r="B13">
        <v>-4.7</v>
      </c>
      <c r="C13">
        <v>-3.8</v>
      </c>
      <c r="D13">
        <v>-3.2</v>
      </c>
      <c r="E13">
        <v>-2.42</v>
      </c>
      <c r="F13">
        <v>-1.6</v>
      </c>
      <c r="G13">
        <v>-0.82</v>
      </c>
      <c r="H13">
        <v>-0.1</v>
      </c>
      <c r="I13">
        <v>0.54</v>
      </c>
      <c r="J13">
        <v>1.26</v>
      </c>
      <c r="K13">
        <v>2</v>
      </c>
      <c r="L13">
        <v>2.75</v>
      </c>
    </row>
    <row r="14" spans="1:12" x14ac:dyDescent="0.2">
      <c r="A14">
        <v>14</v>
      </c>
      <c r="B14">
        <v>-6</v>
      </c>
      <c r="C14">
        <v>-4.3</v>
      </c>
      <c r="D14">
        <v>-3.43</v>
      </c>
      <c r="E14">
        <v>-2.4500000000000002</v>
      </c>
      <c r="F14">
        <v>-1.38</v>
      </c>
      <c r="G14">
        <v>-0.45</v>
      </c>
      <c r="H14">
        <v>0.55000000000000004</v>
      </c>
      <c r="I14">
        <v>1.55</v>
      </c>
      <c r="J14">
        <v>2.5499999999999998</v>
      </c>
      <c r="K14">
        <v>3.56</v>
      </c>
      <c r="L14">
        <v>4.5199999999999996</v>
      </c>
    </row>
    <row r="15" spans="1:12" x14ac:dyDescent="0.2">
      <c r="A15">
        <v>5</v>
      </c>
      <c r="B15">
        <f>B12/1000</f>
        <v>-1.4499999999999999E-3</v>
      </c>
      <c r="C15">
        <f t="shared" ref="C15:L15" si="0">C12/1000</f>
        <v>-1.06E-3</v>
      </c>
      <c r="D15">
        <f t="shared" si="0"/>
        <v>-6.7000000000000002E-4</v>
      </c>
      <c r="E15">
        <f t="shared" si="0"/>
        <v>-2.5000000000000001E-4</v>
      </c>
      <c r="F15">
        <f t="shared" si="0"/>
        <v>1.1999999999999999E-4</v>
      </c>
      <c r="G15">
        <f t="shared" si="0"/>
        <v>5.0000000000000001E-4</v>
      </c>
      <c r="H15">
        <f t="shared" si="0"/>
        <v>8.7000000000000001E-4</v>
      </c>
      <c r="I15">
        <f t="shared" si="0"/>
        <v>1.2600000000000001E-3</v>
      </c>
      <c r="J15">
        <f t="shared" si="0"/>
        <v>1.64E-3</v>
      </c>
      <c r="K15">
        <f t="shared" si="0"/>
        <v>2.0099999999999996E-3</v>
      </c>
      <c r="L15">
        <f t="shared" si="0"/>
        <v>2.3700000000000001E-3</v>
      </c>
    </row>
    <row r="16" spans="1:12" x14ac:dyDescent="0.2">
      <c r="A16">
        <v>10</v>
      </c>
      <c r="B16">
        <f t="shared" ref="B16:L16" si="1">B13/1000</f>
        <v>-4.7000000000000002E-3</v>
      </c>
      <c r="C16">
        <f t="shared" si="1"/>
        <v>-3.8E-3</v>
      </c>
      <c r="D16">
        <f t="shared" si="1"/>
        <v>-3.2000000000000002E-3</v>
      </c>
      <c r="E16">
        <f t="shared" si="1"/>
        <v>-2.4199999999999998E-3</v>
      </c>
      <c r="F16">
        <f t="shared" si="1"/>
        <v>-1.6000000000000001E-3</v>
      </c>
      <c r="G16">
        <f t="shared" si="1"/>
        <v>-8.1999999999999998E-4</v>
      </c>
      <c r="H16">
        <f t="shared" si="1"/>
        <v>-1E-4</v>
      </c>
      <c r="I16">
        <f t="shared" si="1"/>
        <v>5.4000000000000001E-4</v>
      </c>
      <c r="J16">
        <f t="shared" si="1"/>
        <v>1.2600000000000001E-3</v>
      </c>
      <c r="K16">
        <f t="shared" si="1"/>
        <v>2E-3</v>
      </c>
      <c r="L16">
        <f t="shared" si="1"/>
        <v>2.7499999999999998E-3</v>
      </c>
    </row>
    <row r="17" spans="1:12" x14ac:dyDescent="0.2">
      <c r="A17">
        <v>14</v>
      </c>
      <c r="B17">
        <f t="shared" ref="B17:L17" si="2">B14/1000</f>
        <v>-6.0000000000000001E-3</v>
      </c>
      <c r="C17">
        <f t="shared" si="2"/>
        <v>-4.3E-3</v>
      </c>
      <c r="D17">
        <f t="shared" si="2"/>
        <v>-3.4300000000000003E-3</v>
      </c>
      <c r="E17">
        <f t="shared" si="2"/>
        <v>-2.4500000000000004E-3</v>
      </c>
      <c r="F17">
        <f t="shared" si="2"/>
        <v>-1.3799999999999999E-3</v>
      </c>
      <c r="G17">
        <f t="shared" si="2"/>
        <v>-4.4999999999999999E-4</v>
      </c>
      <c r="H17">
        <f t="shared" si="2"/>
        <v>5.5000000000000003E-4</v>
      </c>
      <c r="I17">
        <f t="shared" si="2"/>
        <v>1.5499999999999999E-3</v>
      </c>
      <c r="J17">
        <f t="shared" si="2"/>
        <v>2.5499999999999997E-3</v>
      </c>
      <c r="K17">
        <f t="shared" si="2"/>
        <v>3.5600000000000002E-3</v>
      </c>
      <c r="L17">
        <f t="shared" si="2"/>
        <v>4.5199999999999997E-3</v>
      </c>
    </row>
    <row r="18" spans="1:12" x14ac:dyDescent="0.2">
      <c r="A18" t="s">
        <v>15</v>
      </c>
      <c r="B18" s="3">
        <f xml:space="preserve"> (4*PI()*10^-7 * $A$3 * B10) / ($B$3) * 1000</f>
        <v>0</v>
      </c>
      <c r="C18" s="3">
        <f t="shared" ref="C18:L18" si="3" xml:space="preserve"> (4*PI()*10^-7 * $A$3 * C10) / ($B$3) * 1000</f>
        <v>7.9967813000467473E-4</v>
      </c>
      <c r="D18" s="3">
        <f t="shared" si="3"/>
        <v>1.5993562600093495E-3</v>
      </c>
      <c r="E18" s="3">
        <f t="shared" si="3"/>
        <v>2.3990343900140237E-3</v>
      </c>
      <c r="F18" s="3">
        <f t="shared" si="3"/>
        <v>3.1987125200186989E-3</v>
      </c>
      <c r="G18" s="3">
        <f t="shared" si="3"/>
        <v>3.9983906500233729E-3</v>
      </c>
      <c r="H18" s="3">
        <f t="shared" si="3"/>
        <v>4.7980687800280473E-3</v>
      </c>
      <c r="I18" s="3">
        <f t="shared" si="3"/>
        <v>5.5977469100327226E-3</v>
      </c>
      <c r="J18" s="3">
        <f t="shared" si="3"/>
        <v>6.3174572270369303E-3</v>
      </c>
      <c r="K18" s="3">
        <f t="shared" si="3"/>
        <v>7.0371675440411372E-3</v>
      </c>
      <c r="L18" s="3">
        <f t="shared" si="3"/>
        <v>7.7568778610453441E-3</v>
      </c>
    </row>
    <row r="25" spans="1:12" x14ac:dyDescent="0.2">
      <c r="A25" t="s">
        <v>16</v>
      </c>
      <c r="B25">
        <f>SLOPE(B12:L12,$B$18:$L$18)</f>
        <v>489.84703443408409</v>
      </c>
      <c r="C25" t="s">
        <v>19</v>
      </c>
      <c r="D25">
        <f>B25/A12</f>
        <v>97.969406886816813</v>
      </c>
    </row>
    <row r="26" spans="1:12" x14ac:dyDescent="0.2">
      <c r="A26" t="s">
        <v>17</v>
      </c>
      <c r="B26">
        <f>SLOPE(B13:L13,$B$18:$L$18)</f>
        <v>945.84212420725271</v>
      </c>
      <c r="C26" t="s">
        <v>20</v>
      </c>
      <c r="D26">
        <f>B26/A13</f>
        <v>94.584212420725265</v>
      </c>
    </row>
    <row r="27" spans="1:12" x14ac:dyDescent="0.2">
      <c r="A27" t="s">
        <v>18</v>
      </c>
      <c r="B27">
        <f>SLOPE(B14:L14,$B$18:$L$18)</f>
        <v>1302.8528664306698</v>
      </c>
      <c r="C27" t="s">
        <v>21</v>
      </c>
      <c r="D27">
        <f>B27/A14</f>
        <v>93.060919030762122</v>
      </c>
    </row>
    <row r="28" spans="1:12" x14ac:dyDescent="0.2">
      <c r="C28" t="s">
        <v>22</v>
      </c>
      <c r="D28">
        <f>AVERAGE(D25:D27)</f>
        <v>95.204846112768067</v>
      </c>
    </row>
    <row r="30" spans="1:12" x14ac:dyDescent="0.2">
      <c r="A30" t="s">
        <v>16</v>
      </c>
      <c r="B30" cm="1">
        <f t="array" ref="B30:C30">LINEST(B15:L15,$B$10:$L$10,TRUE,FALSE)</f>
        <v>3.917199604845838E-4</v>
      </c>
      <c r="C30">
        <v>-1.4517787136692148E-3</v>
      </c>
      <c r="D30" t="s">
        <v>19</v>
      </c>
      <c r="E30">
        <f>B30/A12</f>
        <v>7.8343992096916763E-5</v>
      </c>
    </row>
    <row r="31" spans="1:12" x14ac:dyDescent="0.2">
      <c r="A31" t="s">
        <v>17</v>
      </c>
      <c r="B31" cm="1">
        <f t="array" ref="B31:C31">LINEST(B16:L16,$B$10:$L$10,TRUE,FALSE)</f>
        <v>7.5636926116570485E-4</v>
      </c>
      <c r="C31">
        <v>-4.6578625279467588E-3</v>
      </c>
      <c r="D31" t="s">
        <v>20</v>
      </c>
      <c r="E31">
        <f t="shared" ref="E31:E32" si="4">B31/A13</f>
        <v>7.5636926116570482E-5</v>
      </c>
    </row>
    <row r="32" spans="1:12" x14ac:dyDescent="0.2">
      <c r="A32" t="s">
        <v>18</v>
      </c>
      <c r="B32" cm="1">
        <f t="array" ref="B32:C32">LINEST(B17:L17,$B$10:$L$10,TRUE,FALSE)</f>
        <v>1.0418629438985077E-3</v>
      </c>
      <c r="C32">
        <v>-5.6324858316435305E-3</v>
      </c>
      <c r="D32" t="s">
        <v>21</v>
      </c>
      <c r="E32">
        <f t="shared" si="4"/>
        <v>7.4418781707036264E-5</v>
      </c>
    </row>
    <row r="33" spans="2:23" x14ac:dyDescent="0.2">
      <c r="D33" t="s">
        <v>22</v>
      </c>
      <c r="E33">
        <f>AVERAGE(E30:E32)</f>
        <v>7.613323330684117E-5</v>
      </c>
    </row>
    <row r="36" spans="2:23" x14ac:dyDescent="0.2">
      <c r="S36" t="s">
        <v>10</v>
      </c>
    </row>
    <row r="37" spans="2:23" x14ac:dyDescent="0.2">
      <c r="B37" t="s">
        <v>7</v>
      </c>
      <c r="C37">
        <v>0</v>
      </c>
      <c r="D37">
        <v>0.5</v>
      </c>
      <c r="E37">
        <v>1</v>
      </c>
      <c r="F37">
        <v>1.5</v>
      </c>
      <c r="G37">
        <v>2</v>
      </c>
      <c r="H37">
        <v>2.5</v>
      </c>
      <c r="I37">
        <v>3</v>
      </c>
      <c r="J37">
        <v>3.5</v>
      </c>
      <c r="K37">
        <v>4</v>
      </c>
      <c r="L37">
        <v>4.5</v>
      </c>
      <c r="M37">
        <v>5</v>
      </c>
      <c r="N37">
        <v>5.5</v>
      </c>
      <c r="O37">
        <v>6</v>
      </c>
      <c r="P37">
        <v>6.5</v>
      </c>
      <c r="Q37">
        <v>7</v>
      </c>
      <c r="R37">
        <v>7.5</v>
      </c>
      <c r="S37">
        <v>8</v>
      </c>
      <c r="T37">
        <v>8.5</v>
      </c>
      <c r="U37">
        <v>9</v>
      </c>
      <c r="V37">
        <v>9.5</v>
      </c>
      <c r="W37">
        <v>10</v>
      </c>
    </row>
    <row r="38" spans="2:23" x14ac:dyDescent="0.2">
      <c r="B38" t="s">
        <v>8</v>
      </c>
      <c r="C38">
        <v>3.15</v>
      </c>
      <c r="D38">
        <v>2.95</v>
      </c>
      <c r="E38">
        <v>2.61</v>
      </c>
      <c r="F38">
        <v>2.02</v>
      </c>
      <c r="G38">
        <v>1.41</v>
      </c>
      <c r="H38">
        <v>0.68</v>
      </c>
      <c r="I38">
        <v>-0.12</v>
      </c>
      <c r="J38">
        <v>-0.85</v>
      </c>
      <c r="K38">
        <v>-1.5</v>
      </c>
      <c r="L38">
        <v>-2.15</v>
      </c>
      <c r="M38">
        <v>-2.78</v>
      </c>
      <c r="N38">
        <v>-3.31</v>
      </c>
      <c r="O38">
        <f>--3.78</f>
        <v>3.78</v>
      </c>
      <c r="P38">
        <v>-4.1900000000000004</v>
      </c>
      <c r="Q38">
        <v>-4.55</v>
      </c>
      <c r="R38">
        <v>-4.84</v>
      </c>
      <c r="S38">
        <v>-5.07</v>
      </c>
      <c r="T38">
        <v>-4.2</v>
      </c>
      <c r="U38">
        <v>-4.25</v>
      </c>
      <c r="V38">
        <v>-4.4000000000000004</v>
      </c>
      <c r="W38">
        <v>-4.45</v>
      </c>
    </row>
    <row r="39" spans="2:23" x14ac:dyDescent="0.2">
      <c r="B39" t="s">
        <v>9</v>
      </c>
      <c r="C39" s="1">
        <f>$C$40/POWER(1+(POWER(C37/100, 2)/POWER($C$43, 2)), 1.5)</f>
        <v>7.7568778610453437</v>
      </c>
      <c r="D39" s="1">
        <f t="shared" ref="D39:W39" si="5">$C$40/POWER(1+(POWER(D37/100, 2)/POWER($C$43, 2)), 1.5)</f>
        <v>7.6617021130409011</v>
      </c>
      <c r="E39" s="1">
        <f t="shared" si="5"/>
        <v>7.3875424446409612</v>
      </c>
      <c r="F39" s="1">
        <f t="shared" si="5"/>
        <v>6.9654628481359468</v>
      </c>
      <c r="G39" s="1">
        <f t="shared" si="5"/>
        <v>6.4384919625856183</v>
      </c>
      <c r="H39" s="1">
        <f t="shared" si="5"/>
        <v>5.8524232226751316</v>
      </c>
      <c r="I39" s="1">
        <f t="shared" si="5"/>
        <v>5.2482622725844976</v>
      </c>
      <c r="J39" s="1">
        <f t="shared" si="5"/>
        <v>4.6579157240299827</v>
      </c>
      <c r="K39" s="1">
        <f t="shared" si="5"/>
        <v>4.1030557316699907</v>
      </c>
      <c r="L39" s="1">
        <f t="shared" si="5"/>
        <v>3.5961512920284524</v>
      </c>
      <c r="M39" s="1">
        <f t="shared" si="5"/>
        <v>3.1425094915513876</v>
      </c>
      <c r="N39" s="1">
        <f t="shared" si="5"/>
        <v>2.7424704681904823</v>
      </c>
      <c r="O39" s="1">
        <f t="shared" si="5"/>
        <v>2.393294802808394</v>
      </c>
      <c r="P39" s="1">
        <f t="shared" si="5"/>
        <v>2.0905858750120658</v>
      </c>
      <c r="Q39" s="1">
        <f t="shared" si="5"/>
        <v>1.8292628533410984</v>
      </c>
      <c r="R39" s="1">
        <f t="shared" si="5"/>
        <v>1.6041717368106754</v>
      </c>
      <c r="S39" s="1">
        <f t="shared" si="5"/>
        <v>1.410434697484104</v>
      </c>
      <c r="T39" s="1">
        <f t="shared" si="5"/>
        <v>1.2436243690615909</v>
      </c>
      <c r="U39" s="1">
        <f t="shared" si="5"/>
        <v>1.0998285575528679</v>
      </c>
      <c r="V39" s="1">
        <f t="shared" si="5"/>
        <v>0.97565090394196352</v>
      </c>
      <c r="W39" s="1">
        <f t="shared" si="5"/>
        <v>0.86817729480338701</v>
      </c>
    </row>
    <row r="40" spans="2:23" x14ac:dyDescent="0.2">
      <c r="B40" t="s">
        <v>11</v>
      </c>
      <c r="C40">
        <f>(4 * PI() * POWER(10, -7)*C42*C44)/(2*C43) * 1000</f>
        <v>7.7568778610453437</v>
      </c>
    </row>
    <row r="42" spans="2:23" x14ac:dyDescent="0.2">
      <c r="B42" t="s">
        <v>12</v>
      </c>
      <c r="C42">
        <v>70</v>
      </c>
      <c r="F42" t="s">
        <v>7</v>
      </c>
      <c r="G42">
        <v>0</v>
      </c>
      <c r="H42">
        <v>5</v>
      </c>
      <c r="I42">
        <v>10</v>
      </c>
      <c r="J42">
        <v>1</v>
      </c>
    </row>
    <row r="43" spans="2:23" x14ac:dyDescent="0.2">
      <c r="B43" t="s">
        <v>13</v>
      </c>
      <c r="C43">
        <f>B3/2/1000</f>
        <v>5.5E-2</v>
      </c>
      <c r="F43" t="s">
        <v>8</v>
      </c>
      <c r="G43">
        <v>-370</v>
      </c>
      <c r="H43">
        <v>-8.1</v>
      </c>
      <c r="I43">
        <v>-6.37</v>
      </c>
      <c r="J43">
        <v>-67.2</v>
      </c>
    </row>
    <row r="44" spans="2:23" x14ac:dyDescent="0.2">
      <c r="B44" t="s">
        <v>14</v>
      </c>
      <c r="C44">
        <v>9.6999999999999993</v>
      </c>
    </row>
  </sheetData>
  <mergeCells count="1">
    <mergeCell ref="B11:L1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Magdalena Śmietana</dc:creator>
  <cp:lastModifiedBy>Dawid Komęza</cp:lastModifiedBy>
  <dcterms:created xsi:type="dcterms:W3CDTF">2025-10-24T11:22:22Z</dcterms:created>
  <dcterms:modified xsi:type="dcterms:W3CDTF">2025-10-30T22:05:39Z</dcterms:modified>
</cp:coreProperties>
</file>