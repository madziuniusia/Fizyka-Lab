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gdalenasmietana/Documents/Fizyka/Fizyka-Lab/lab4/"/>
    </mc:Choice>
  </mc:AlternateContent>
  <xr:revisionPtr revIDLastSave="0" documentId="13_ncr:1_{6584A196-43AE-CB4B-BE89-25967B59F604}" xr6:coauthVersionLast="47" xr6:coauthVersionMax="47" xr10:uidLastSave="{00000000-0000-0000-0000-000000000000}"/>
  <bookViews>
    <workbookView xWindow="0" yWindow="660" windowWidth="29400" windowHeight="18460" xr2:uid="{57187E8D-46F6-554C-8982-2CC030F76FF2}"/>
  </bookViews>
  <sheets>
    <sheet name="Sheet1" sheetId="1" r:id="rId1"/>
  </sheets>
  <definedNames>
    <definedName name="_xlchart.v1.0" hidden="1">Sheet1!$O$5:$O$50</definedName>
    <definedName name="_xlchart.v1.1" hidden="1">Sheet1!$P$5:$P$50</definedName>
    <definedName name="_xlchart.v1.10" hidden="1">Sheet1!$O$4:$O$50</definedName>
    <definedName name="_xlchart.v1.11" hidden="1">Sheet1!$P$4</definedName>
    <definedName name="_xlchart.v1.12" hidden="1">Sheet1!$P$5:$P$50</definedName>
    <definedName name="_xlchart.v1.2" hidden="1">Sheet1!$O$5:$O$50</definedName>
    <definedName name="_xlchart.v1.3" hidden="1">Sheet1!$P$5:$P$50</definedName>
    <definedName name="_xlchart.v1.4" hidden="1">Sheet1!$O$5:$O$50</definedName>
    <definedName name="_xlchart.v1.5" hidden="1">Sheet1!$P$5:$P$50</definedName>
    <definedName name="_xlchart.v1.6" hidden="1">Sheet1!$O$5:$O$50</definedName>
    <definedName name="_xlchart.v1.7" hidden="1">Sheet1!$P$5:$P$50</definedName>
    <definedName name="_xlchart.v1.8" hidden="1">Sheet1!$O$5:$O$50</definedName>
    <definedName name="_xlchart.v1.9" hidden="1">Sheet1!$P$5:$P$50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" i="1"/>
</calcChain>
</file>

<file path=xl/sharedStrings.xml><?xml version="1.0" encoding="utf-8"?>
<sst xmlns="http://schemas.openxmlformats.org/spreadsheetml/2006/main" count="17" uniqueCount="14">
  <si>
    <t>Ciśnienie [hPa]</t>
  </si>
  <si>
    <t>Temperatura [K]</t>
  </si>
  <si>
    <t>Pomiary temperatury w zależności od ciśnienia.</t>
  </si>
  <si>
    <t>Opór [Ω] - pomiar 1</t>
  </si>
  <si>
    <t>Opór [Ω] - pomiar 2</t>
  </si>
  <si>
    <t>h1</t>
  </si>
  <si>
    <t>130 mm</t>
  </si>
  <si>
    <t>h2</t>
  </si>
  <si>
    <t>80 mm</t>
  </si>
  <si>
    <t>t</t>
  </si>
  <si>
    <t>4.04 min</t>
  </si>
  <si>
    <t xml:space="preserve">Opór [Ω] </t>
  </si>
  <si>
    <t>cisnienie [hPa]</t>
  </si>
  <si>
    <t xml:space="preserve">Opór średni [Ω]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</si>
</sst>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Pomiary temperatury w zależności od ciśnienia.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Sheet1!$O$5:$O$50</c:f>
              <c:numCache>
                <c:formatCode>General</c:formatCode>
                <c:ptCount val="46"/>
                <c:pt idx="0">
                  <c:v>-1000</c:v>
                </c:pt>
                <c:pt idx="1">
                  <c:v>-950</c:v>
                </c:pt>
                <c:pt idx="2">
                  <c:v>-900</c:v>
                </c:pt>
                <c:pt idx="3">
                  <c:v>-850</c:v>
                </c:pt>
                <c:pt idx="4">
                  <c:v>-800</c:v>
                </c:pt>
                <c:pt idx="5">
                  <c:v>-750</c:v>
                </c:pt>
                <c:pt idx="6">
                  <c:v>-700</c:v>
                </c:pt>
                <c:pt idx="7">
                  <c:v>-650</c:v>
                </c:pt>
                <c:pt idx="8">
                  <c:v>-600</c:v>
                </c:pt>
                <c:pt idx="9">
                  <c:v>-550</c:v>
                </c:pt>
                <c:pt idx="10">
                  <c:v>-500</c:v>
                </c:pt>
                <c:pt idx="11">
                  <c:v>-450</c:v>
                </c:pt>
                <c:pt idx="12">
                  <c:v>-400</c:v>
                </c:pt>
                <c:pt idx="13">
                  <c:v>-350</c:v>
                </c:pt>
                <c:pt idx="14">
                  <c:v>-300</c:v>
                </c:pt>
                <c:pt idx="15">
                  <c:v>-250</c:v>
                </c:pt>
                <c:pt idx="16">
                  <c:v>-200</c:v>
                </c:pt>
                <c:pt idx="17">
                  <c:v>-150</c:v>
                </c:pt>
                <c:pt idx="18">
                  <c:v>-100</c:v>
                </c:pt>
                <c:pt idx="19">
                  <c:v>0</c:v>
                </c:pt>
                <c:pt idx="20">
                  <c:v>50</c:v>
                </c:pt>
                <c:pt idx="21">
                  <c:v>100</c:v>
                </c:pt>
                <c:pt idx="22">
                  <c:v>150</c:v>
                </c:pt>
                <c:pt idx="23">
                  <c:v>200</c:v>
                </c:pt>
                <c:pt idx="24">
                  <c:v>250</c:v>
                </c:pt>
                <c:pt idx="25">
                  <c:v>300</c:v>
                </c:pt>
                <c:pt idx="26">
                  <c:v>350</c:v>
                </c:pt>
                <c:pt idx="27">
                  <c:v>400</c:v>
                </c:pt>
                <c:pt idx="28">
                  <c:v>450</c:v>
                </c:pt>
                <c:pt idx="29">
                  <c:v>500</c:v>
                </c:pt>
                <c:pt idx="30">
                  <c:v>550</c:v>
                </c:pt>
                <c:pt idx="31">
                  <c:v>600</c:v>
                </c:pt>
                <c:pt idx="32">
                  <c:v>650</c:v>
                </c:pt>
                <c:pt idx="33">
                  <c:v>700</c:v>
                </c:pt>
                <c:pt idx="34">
                  <c:v>750</c:v>
                </c:pt>
                <c:pt idx="35">
                  <c:v>800</c:v>
                </c:pt>
                <c:pt idx="36">
                  <c:v>850</c:v>
                </c:pt>
                <c:pt idx="37">
                  <c:v>900</c:v>
                </c:pt>
                <c:pt idx="38">
                  <c:v>950</c:v>
                </c:pt>
                <c:pt idx="39">
                  <c:v>1000</c:v>
                </c:pt>
                <c:pt idx="40">
                  <c:v>1050</c:v>
                </c:pt>
                <c:pt idx="41">
                  <c:v>1100</c:v>
                </c:pt>
                <c:pt idx="42">
                  <c:v>1150</c:v>
                </c:pt>
                <c:pt idx="43">
                  <c:v>1200</c:v>
                </c:pt>
                <c:pt idx="44">
                  <c:v>1250</c:v>
                </c:pt>
                <c:pt idx="45">
                  <c:v>1300</c:v>
                </c:pt>
              </c:numCache>
            </c:numRef>
          </c:xVal>
          <c:yVal>
            <c:numRef>
              <c:f>Sheet1!$P$5:$P$50</c:f>
              <c:numCache>
                <c:formatCode>General</c:formatCode>
                <c:ptCount val="46"/>
                <c:pt idx="0">
                  <c:v>61.9</c:v>
                </c:pt>
                <c:pt idx="1">
                  <c:v>62.8</c:v>
                </c:pt>
                <c:pt idx="2">
                  <c:v>63.8</c:v>
                </c:pt>
                <c:pt idx="3">
                  <c:v>65.8</c:v>
                </c:pt>
                <c:pt idx="4">
                  <c:v>67.2</c:v>
                </c:pt>
                <c:pt idx="5">
                  <c:v>68.400000000000006</c:v>
                </c:pt>
                <c:pt idx="6">
                  <c:v>69.400000000000006</c:v>
                </c:pt>
                <c:pt idx="7">
                  <c:v>70.599999999999994</c:v>
                </c:pt>
                <c:pt idx="8">
                  <c:v>71.3</c:v>
                </c:pt>
                <c:pt idx="9">
                  <c:v>72</c:v>
                </c:pt>
                <c:pt idx="10">
                  <c:v>72.7</c:v>
                </c:pt>
                <c:pt idx="11">
                  <c:v>73.2</c:v>
                </c:pt>
                <c:pt idx="12">
                  <c:v>73.900000000000006</c:v>
                </c:pt>
                <c:pt idx="13">
                  <c:v>74.400000000000006</c:v>
                </c:pt>
                <c:pt idx="14">
                  <c:v>74.8</c:v>
                </c:pt>
                <c:pt idx="15">
                  <c:v>75.5</c:v>
                </c:pt>
                <c:pt idx="16">
                  <c:v>76</c:v>
                </c:pt>
                <c:pt idx="17">
                  <c:v>76.5</c:v>
                </c:pt>
                <c:pt idx="18">
                  <c:v>77</c:v>
                </c:pt>
                <c:pt idx="19">
                  <c:v>77.7</c:v>
                </c:pt>
                <c:pt idx="20">
                  <c:v>77.900000000000006</c:v>
                </c:pt>
                <c:pt idx="21">
                  <c:v>78.400000000000006</c:v>
                </c:pt>
                <c:pt idx="22">
                  <c:v>78.8</c:v>
                </c:pt>
                <c:pt idx="23">
                  <c:v>79.3</c:v>
                </c:pt>
                <c:pt idx="24">
                  <c:v>79.5</c:v>
                </c:pt>
                <c:pt idx="25">
                  <c:v>80</c:v>
                </c:pt>
                <c:pt idx="26">
                  <c:v>80.5</c:v>
                </c:pt>
                <c:pt idx="27">
                  <c:v>80.5</c:v>
                </c:pt>
                <c:pt idx="28">
                  <c:v>80.7</c:v>
                </c:pt>
                <c:pt idx="29">
                  <c:v>81.2</c:v>
                </c:pt>
                <c:pt idx="30">
                  <c:v>81.400000000000006</c:v>
                </c:pt>
                <c:pt idx="31">
                  <c:v>81.900000000000006</c:v>
                </c:pt>
                <c:pt idx="32">
                  <c:v>82.1</c:v>
                </c:pt>
                <c:pt idx="33">
                  <c:v>82.4</c:v>
                </c:pt>
                <c:pt idx="34">
                  <c:v>82.8</c:v>
                </c:pt>
                <c:pt idx="35">
                  <c:v>83.1</c:v>
                </c:pt>
                <c:pt idx="36">
                  <c:v>83.3</c:v>
                </c:pt>
                <c:pt idx="37">
                  <c:v>83.5</c:v>
                </c:pt>
                <c:pt idx="38">
                  <c:v>83.8</c:v>
                </c:pt>
                <c:pt idx="39">
                  <c:v>84</c:v>
                </c:pt>
                <c:pt idx="40">
                  <c:v>84.5</c:v>
                </c:pt>
                <c:pt idx="41">
                  <c:v>84.7</c:v>
                </c:pt>
                <c:pt idx="42">
                  <c:v>84.9</c:v>
                </c:pt>
                <c:pt idx="43">
                  <c:v>85.2</c:v>
                </c:pt>
                <c:pt idx="44">
                  <c:v>85.6</c:v>
                </c:pt>
                <c:pt idx="45">
                  <c:v>86.6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99-7640-B9E2-332225E00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8479231"/>
        <c:axId val="1903962623"/>
      </c:scatterChart>
      <c:valAx>
        <c:axId val="1908479231"/>
        <c:scaling>
          <c:orientation val="minMax"/>
          <c:max val="1400"/>
          <c:min val="-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Ciśnienie [hPa]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962623"/>
        <c:crosses val="autoZero"/>
        <c:crossBetween val="midCat"/>
      </c:valAx>
      <c:valAx>
        <c:axId val="1903962623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Temperatura [K]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79231"/>
        <c:crossesAt val="-1500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228601</xdr:colOff>
      <xdr:row>11</xdr:row>
      <xdr:rowOff>135467</xdr:rowOff>
    </xdr:from>
    <xdr:to>
      <xdr:col>29</xdr:col>
      <xdr:colOff>0</xdr:colOff>
      <xdr:row>34</xdr:row>
      <xdr:rowOff>177801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6832BD-B1E2-C52B-9B4A-6CEDCA09E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C0FF-61BA-5A4B-B3C0-624E87EF0EDB}">
  <dimension ref="A1:P50"/>
  <sheetViews>
    <sheetView tabSelected="1" topLeftCell="P8" zoomScale="108" zoomScaleNormal="100" workbookViewId="0">
      <selection activeCell="AB40" sqref="AB40"/>
    </sheetView>
  </sheetViews>
  <sheetFormatPr baseColWidth="10" defaultRowHeight="16" x14ac:dyDescent="0.2"/>
  <cols>
    <col min="1" max="1" width="13.1640625" bestFit="1" customWidth="1"/>
    <col min="2" max="3" width="17.33203125" bestFit="1" customWidth="1"/>
    <col min="4" max="4" width="14.6640625" bestFit="1" customWidth="1"/>
    <col min="5" max="5" width="13.1640625" bestFit="1" customWidth="1"/>
    <col min="6" max="6" width="8.83203125" bestFit="1" customWidth="1"/>
    <col min="9" max="9" width="14.6640625" bestFit="1" customWidth="1"/>
  </cols>
  <sheetData>
    <row r="1" spans="1:16" x14ac:dyDescent="0.2">
      <c r="A1" s="1" t="s">
        <v>2</v>
      </c>
    </row>
    <row r="2" spans="1:16" x14ac:dyDescent="0.2">
      <c r="A2" t="s">
        <v>12</v>
      </c>
      <c r="B2" t="s">
        <v>3</v>
      </c>
      <c r="C2" t="s">
        <v>4</v>
      </c>
      <c r="D2" t="s">
        <v>13</v>
      </c>
      <c r="E2" t="s">
        <v>1</v>
      </c>
    </row>
    <row r="3" spans="1:16" x14ac:dyDescent="0.2">
      <c r="A3">
        <v>0</v>
      </c>
      <c r="B3">
        <v>20.34</v>
      </c>
      <c r="C3">
        <v>20.420000000000002</v>
      </c>
      <c r="D3" s="2">
        <f>AVERAGE(B3,C3)</f>
        <v>20.380000000000003</v>
      </c>
      <c r="E3">
        <v>77.7</v>
      </c>
      <c r="G3" t="s">
        <v>0</v>
      </c>
      <c r="H3" t="s">
        <v>11</v>
      </c>
      <c r="I3" t="s">
        <v>1</v>
      </c>
    </row>
    <row r="4" spans="1:16" x14ac:dyDescent="0.2">
      <c r="A4">
        <v>50</v>
      </c>
      <c r="B4">
        <v>20.5</v>
      </c>
      <c r="C4">
        <v>20.58</v>
      </c>
      <c r="D4" s="2">
        <f t="shared" ref="D4:D29" si="0">AVERAGE(B4,C4)</f>
        <v>20.54</v>
      </c>
      <c r="E4">
        <v>77.900000000000006</v>
      </c>
      <c r="G4">
        <v>-1000</v>
      </c>
      <c r="H4" s="2">
        <v>13.8</v>
      </c>
      <c r="I4">
        <v>61.9</v>
      </c>
      <c r="O4" t="s">
        <v>0</v>
      </c>
      <c r="P4" t="s">
        <v>1</v>
      </c>
    </row>
    <row r="5" spans="1:16" x14ac:dyDescent="0.2">
      <c r="A5">
        <v>100</v>
      </c>
      <c r="B5">
        <v>20.7</v>
      </c>
      <c r="C5">
        <v>20.75</v>
      </c>
      <c r="D5" s="2">
        <f t="shared" si="0"/>
        <v>20.725000000000001</v>
      </c>
      <c r="E5">
        <v>78.400000000000006</v>
      </c>
      <c r="G5">
        <v>-950</v>
      </c>
      <c r="H5" s="2">
        <v>14.21</v>
      </c>
      <c r="I5">
        <v>62.8</v>
      </c>
      <c r="O5">
        <v>-1000</v>
      </c>
      <c r="P5">
        <v>61.9</v>
      </c>
    </row>
    <row r="6" spans="1:16" x14ac:dyDescent="0.2">
      <c r="A6">
        <v>150</v>
      </c>
      <c r="B6">
        <v>20.87</v>
      </c>
      <c r="C6">
        <v>20.92</v>
      </c>
      <c r="D6" s="2">
        <f t="shared" si="0"/>
        <v>20.895000000000003</v>
      </c>
      <c r="E6">
        <v>78.8</v>
      </c>
      <c r="G6">
        <v>-900</v>
      </c>
      <c r="H6" s="2">
        <v>14.6</v>
      </c>
      <c r="I6">
        <v>63.8</v>
      </c>
      <c r="O6">
        <v>-950</v>
      </c>
      <c r="P6">
        <v>62.8</v>
      </c>
    </row>
    <row r="7" spans="1:16" x14ac:dyDescent="0.2">
      <c r="A7">
        <v>200</v>
      </c>
      <c r="B7">
        <v>21.05</v>
      </c>
      <c r="C7">
        <v>21.1</v>
      </c>
      <c r="D7" s="2">
        <f t="shared" si="0"/>
        <v>21.075000000000003</v>
      </c>
      <c r="E7">
        <v>79.3</v>
      </c>
      <c r="G7">
        <v>-850</v>
      </c>
      <c r="H7" s="2">
        <v>15.4</v>
      </c>
      <c r="I7">
        <v>65.8</v>
      </c>
      <c r="O7">
        <v>-900</v>
      </c>
      <c r="P7">
        <v>63.8</v>
      </c>
    </row>
    <row r="8" spans="1:16" x14ac:dyDescent="0.2">
      <c r="A8">
        <v>250</v>
      </c>
      <c r="B8">
        <v>21.22</v>
      </c>
      <c r="C8">
        <v>21.25</v>
      </c>
      <c r="D8" s="2">
        <f t="shared" si="0"/>
        <v>21.234999999999999</v>
      </c>
      <c r="E8">
        <v>79.5</v>
      </c>
      <c r="G8">
        <v>-800</v>
      </c>
      <c r="H8" s="2">
        <v>16.02</v>
      </c>
      <c r="I8">
        <v>67.2</v>
      </c>
      <c r="O8">
        <v>-850</v>
      </c>
      <c r="P8">
        <v>65.8</v>
      </c>
    </row>
    <row r="9" spans="1:16" x14ac:dyDescent="0.2">
      <c r="A9">
        <v>300</v>
      </c>
      <c r="B9">
        <v>21.36</v>
      </c>
      <c r="C9">
        <v>21.38</v>
      </c>
      <c r="D9" s="2">
        <f t="shared" si="0"/>
        <v>21.369999999999997</v>
      </c>
      <c r="E9">
        <v>80</v>
      </c>
      <c r="G9">
        <v>-750</v>
      </c>
      <c r="H9" s="2">
        <v>16.5</v>
      </c>
      <c r="I9">
        <v>68.400000000000006</v>
      </c>
      <c r="K9" t="s">
        <v>5</v>
      </c>
      <c r="L9" t="s">
        <v>6</v>
      </c>
      <c r="O9">
        <v>-800</v>
      </c>
      <c r="P9">
        <v>67.2</v>
      </c>
    </row>
    <row r="10" spans="1:16" x14ac:dyDescent="0.2">
      <c r="A10">
        <v>350</v>
      </c>
      <c r="B10">
        <v>21.36</v>
      </c>
      <c r="C10">
        <v>21.58</v>
      </c>
      <c r="D10" s="2">
        <f t="shared" si="0"/>
        <v>21.47</v>
      </c>
      <c r="E10">
        <v>80.5</v>
      </c>
      <c r="G10">
        <v>-700</v>
      </c>
      <c r="H10" s="2">
        <v>16.850000000000001</v>
      </c>
      <c r="I10">
        <v>69.400000000000006</v>
      </c>
      <c r="K10" t="s">
        <v>7</v>
      </c>
      <c r="L10" t="s">
        <v>8</v>
      </c>
      <c r="O10">
        <v>-750</v>
      </c>
      <c r="P10">
        <v>68.400000000000006</v>
      </c>
    </row>
    <row r="11" spans="1:16" x14ac:dyDescent="0.2">
      <c r="A11">
        <v>400</v>
      </c>
      <c r="B11">
        <v>21.64</v>
      </c>
      <c r="C11">
        <v>21.65</v>
      </c>
      <c r="D11" s="2">
        <f t="shared" si="0"/>
        <v>21.645</v>
      </c>
      <c r="E11">
        <v>80.5</v>
      </c>
      <c r="G11">
        <v>-650</v>
      </c>
      <c r="H11" s="2">
        <v>17.399999999999999</v>
      </c>
      <c r="I11">
        <v>70.599999999999994</v>
      </c>
      <c r="K11" t="s">
        <v>9</v>
      </c>
      <c r="L11" t="s">
        <v>10</v>
      </c>
      <c r="O11">
        <v>-700</v>
      </c>
      <c r="P11">
        <v>69.400000000000006</v>
      </c>
    </row>
    <row r="12" spans="1:16" x14ac:dyDescent="0.2">
      <c r="A12">
        <v>450</v>
      </c>
      <c r="B12">
        <v>21.76</v>
      </c>
      <c r="C12">
        <v>21.7</v>
      </c>
      <c r="D12" s="2">
        <f t="shared" si="0"/>
        <v>21.73</v>
      </c>
      <c r="E12">
        <v>80.7</v>
      </c>
      <c r="G12">
        <v>-600</v>
      </c>
      <c r="H12" s="2">
        <v>17.649999999999999</v>
      </c>
      <c r="I12">
        <v>71.3</v>
      </c>
      <c r="O12">
        <v>-650</v>
      </c>
      <c r="P12">
        <v>70.599999999999994</v>
      </c>
    </row>
    <row r="13" spans="1:16" x14ac:dyDescent="0.2">
      <c r="A13">
        <v>500</v>
      </c>
      <c r="B13">
        <v>21.92</v>
      </c>
      <c r="C13">
        <v>21.86</v>
      </c>
      <c r="D13" s="2">
        <f t="shared" si="0"/>
        <v>21.89</v>
      </c>
      <c r="E13">
        <v>81.2</v>
      </c>
      <c r="G13">
        <v>-550</v>
      </c>
      <c r="H13" s="2">
        <v>18</v>
      </c>
      <c r="I13">
        <v>72</v>
      </c>
      <c r="O13">
        <v>-600</v>
      </c>
      <c r="P13">
        <v>71.3</v>
      </c>
    </row>
    <row r="14" spans="1:16" x14ac:dyDescent="0.2">
      <c r="A14">
        <v>550</v>
      </c>
      <c r="B14">
        <v>22.06</v>
      </c>
      <c r="C14">
        <v>21.98</v>
      </c>
      <c r="D14" s="2">
        <f t="shared" si="0"/>
        <v>22.02</v>
      </c>
      <c r="E14">
        <v>81.400000000000006</v>
      </c>
      <c r="G14">
        <v>-500</v>
      </c>
      <c r="H14" s="2">
        <v>18.25</v>
      </c>
      <c r="I14">
        <v>72.7</v>
      </c>
      <c r="O14">
        <v>-550</v>
      </c>
      <c r="P14">
        <v>72</v>
      </c>
    </row>
    <row r="15" spans="1:16" x14ac:dyDescent="0.2">
      <c r="A15">
        <v>600</v>
      </c>
      <c r="B15">
        <v>22.2</v>
      </c>
      <c r="C15">
        <v>22.13</v>
      </c>
      <c r="D15" s="2">
        <f t="shared" si="0"/>
        <v>22.164999999999999</v>
      </c>
      <c r="E15">
        <v>81.900000000000006</v>
      </c>
      <c r="G15">
        <v>-450</v>
      </c>
      <c r="H15" s="2">
        <v>18.54</v>
      </c>
      <c r="I15">
        <v>73.2</v>
      </c>
      <c r="O15">
        <v>-500</v>
      </c>
      <c r="P15">
        <v>72.7</v>
      </c>
    </row>
    <row r="16" spans="1:16" x14ac:dyDescent="0.2">
      <c r="A16">
        <v>650</v>
      </c>
      <c r="B16">
        <v>22.33</v>
      </c>
      <c r="C16">
        <v>22.2</v>
      </c>
      <c r="D16" s="2">
        <f t="shared" si="0"/>
        <v>22.265000000000001</v>
      </c>
      <c r="E16">
        <v>82.1</v>
      </c>
      <c r="G16">
        <v>-400</v>
      </c>
      <c r="H16" s="2">
        <v>18.77</v>
      </c>
      <c r="I16">
        <v>73.900000000000006</v>
      </c>
      <c r="O16">
        <v>-450</v>
      </c>
      <c r="P16">
        <v>73.2</v>
      </c>
    </row>
    <row r="17" spans="1:16" x14ac:dyDescent="0.2">
      <c r="A17">
        <v>700</v>
      </c>
      <c r="B17">
        <v>22.45</v>
      </c>
      <c r="C17">
        <v>22.35</v>
      </c>
      <c r="D17" s="2">
        <f t="shared" si="0"/>
        <v>22.4</v>
      </c>
      <c r="E17">
        <v>82.4</v>
      </c>
      <c r="G17">
        <v>-350</v>
      </c>
      <c r="H17" s="2">
        <v>19</v>
      </c>
      <c r="I17">
        <v>74.400000000000006</v>
      </c>
      <c r="O17">
        <v>-400</v>
      </c>
      <c r="P17">
        <v>73.900000000000006</v>
      </c>
    </row>
    <row r="18" spans="1:16" x14ac:dyDescent="0.2">
      <c r="A18">
        <v>750</v>
      </c>
      <c r="B18">
        <v>22.6</v>
      </c>
      <c r="C18">
        <v>22.5</v>
      </c>
      <c r="D18" s="2">
        <f t="shared" si="0"/>
        <v>22.55</v>
      </c>
      <c r="E18">
        <v>82.8</v>
      </c>
      <c r="G18">
        <v>-300</v>
      </c>
      <c r="H18" s="2">
        <v>19.22</v>
      </c>
      <c r="I18">
        <v>74.8</v>
      </c>
      <c r="O18">
        <v>-350</v>
      </c>
      <c r="P18">
        <v>74.400000000000006</v>
      </c>
    </row>
    <row r="19" spans="1:16" x14ac:dyDescent="0.2">
      <c r="A19">
        <v>800</v>
      </c>
      <c r="B19">
        <v>22.72</v>
      </c>
      <c r="C19">
        <v>22.6</v>
      </c>
      <c r="D19" s="2">
        <f t="shared" si="0"/>
        <v>22.66</v>
      </c>
      <c r="E19">
        <v>83.1</v>
      </c>
      <c r="G19">
        <v>-250</v>
      </c>
      <c r="H19" s="2">
        <v>19.489999999999998</v>
      </c>
      <c r="I19">
        <v>75.5</v>
      </c>
      <c r="O19">
        <v>-300</v>
      </c>
      <c r="P19">
        <v>74.8</v>
      </c>
    </row>
    <row r="20" spans="1:16" x14ac:dyDescent="0.2">
      <c r="A20">
        <v>850</v>
      </c>
      <c r="B20">
        <v>22.81</v>
      </c>
      <c r="C20">
        <v>22.72</v>
      </c>
      <c r="D20" s="2">
        <f t="shared" si="0"/>
        <v>22.765000000000001</v>
      </c>
      <c r="E20">
        <v>83.3</v>
      </c>
      <c r="G20">
        <v>-200</v>
      </c>
      <c r="H20" s="2">
        <v>19.7</v>
      </c>
      <c r="I20">
        <v>76</v>
      </c>
      <c r="O20">
        <v>-250</v>
      </c>
      <c r="P20">
        <v>75.5</v>
      </c>
    </row>
    <row r="21" spans="1:16" x14ac:dyDescent="0.2">
      <c r="A21">
        <v>900</v>
      </c>
      <c r="B21">
        <v>22.93</v>
      </c>
      <c r="C21">
        <v>22.85</v>
      </c>
      <c r="D21" s="2">
        <f t="shared" si="0"/>
        <v>22.89</v>
      </c>
      <c r="E21">
        <v>83.5</v>
      </c>
      <c r="G21">
        <v>-150</v>
      </c>
      <c r="H21" s="2">
        <v>19.88</v>
      </c>
      <c r="I21">
        <v>76.5</v>
      </c>
      <c r="O21">
        <v>-200</v>
      </c>
      <c r="P21">
        <v>76</v>
      </c>
    </row>
    <row r="22" spans="1:16" x14ac:dyDescent="0.2">
      <c r="A22">
        <v>950</v>
      </c>
      <c r="B22">
        <v>22.98</v>
      </c>
      <c r="C22">
        <v>23</v>
      </c>
      <c r="D22" s="2">
        <f t="shared" si="0"/>
        <v>22.990000000000002</v>
      </c>
      <c r="E22">
        <v>83.8</v>
      </c>
      <c r="G22">
        <v>-100</v>
      </c>
      <c r="H22" s="2">
        <v>20.05</v>
      </c>
      <c r="I22">
        <v>77</v>
      </c>
      <c r="O22">
        <v>-150</v>
      </c>
      <c r="P22">
        <v>76.5</v>
      </c>
    </row>
    <row r="23" spans="1:16" x14ac:dyDescent="0.2">
      <c r="A23">
        <v>1000</v>
      </c>
      <c r="B23">
        <v>23.15</v>
      </c>
      <c r="C23">
        <v>23.11</v>
      </c>
      <c r="D23" s="2">
        <f t="shared" si="0"/>
        <v>23.13</v>
      </c>
      <c r="E23">
        <v>84</v>
      </c>
      <c r="O23">
        <v>-100</v>
      </c>
      <c r="P23">
        <v>77</v>
      </c>
    </row>
    <row r="24" spans="1:16" x14ac:dyDescent="0.2">
      <c r="A24">
        <v>1050</v>
      </c>
      <c r="B24">
        <v>23.25</v>
      </c>
      <c r="C24">
        <v>23.28</v>
      </c>
      <c r="D24" s="2">
        <f t="shared" si="0"/>
        <v>23.265000000000001</v>
      </c>
      <c r="E24">
        <v>84.5</v>
      </c>
      <c r="O24">
        <v>0</v>
      </c>
      <c r="P24">
        <v>77.7</v>
      </c>
    </row>
    <row r="25" spans="1:16" x14ac:dyDescent="0.2">
      <c r="A25">
        <v>1100</v>
      </c>
      <c r="B25">
        <v>23.35</v>
      </c>
      <c r="C25">
        <v>23.42</v>
      </c>
      <c r="D25" s="2">
        <f t="shared" si="0"/>
        <v>23.385000000000002</v>
      </c>
      <c r="E25">
        <v>84.7</v>
      </c>
      <c r="O25">
        <v>50</v>
      </c>
      <c r="P25">
        <v>77.900000000000006</v>
      </c>
    </row>
    <row r="26" spans="1:16" x14ac:dyDescent="0.2">
      <c r="A26">
        <v>1150</v>
      </c>
      <c r="B26">
        <v>23.47</v>
      </c>
      <c r="C26">
        <v>23.5</v>
      </c>
      <c r="D26" s="2">
        <f t="shared" si="0"/>
        <v>23.484999999999999</v>
      </c>
      <c r="E26">
        <v>84.9</v>
      </c>
      <c r="O26">
        <v>100</v>
      </c>
      <c r="P26">
        <v>78.400000000000006</v>
      </c>
    </row>
    <row r="27" spans="1:16" x14ac:dyDescent="0.2">
      <c r="A27">
        <v>1200</v>
      </c>
      <c r="B27">
        <v>23.63</v>
      </c>
      <c r="C27">
        <v>23.63</v>
      </c>
      <c r="D27" s="2">
        <f t="shared" si="0"/>
        <v>23.63</v>
      </c>
      <c r="E27">
        <v>85.2</v>
      </c>
      <c r="O27">
        <v>150</v>
      </c>
      <c r="P27">
        <v>78.8</v>
      </c>
    </row>
    <row r="28" spans="1:16" x14ac:dyDescent="0.2">
      <c r="A28">
        <v>1250</v>
      </c>
      <c r="C28">
        <v>23.78</v>
      </c>
      <c r="D28" s="2">
        <f t="shared" si="0"/>
        <v>23.78</v>
      </c>
      <c r="E28">
        <v>85.6</v>
      </c>
      <c r="O28">
        <v>200</v>
      </c>
      <c r="P28">
        <v>79.3</v>
      </c>
    </row>
    <row r="29" spans="1:16" x14ac:dyDescent="0.2">
      <c r="A29">
        <v>1300</v>
      </c>
      <c r="C29">
        <v>24.16</v>
      </c>
      <c r="D29" s="2">
        <f t="shared" si="0"/>
        <v>24.16</v>
      </c>
      <c r="E29">
        <v>86.6</v>
      </c>
      <c r="O29">
        <v>250</v>
      </c>
      <c r="P29">
        <v>79.5</v>
      </c>
    </row>
    <row r="30" spans="1:16" x14ac:dyDescent="0.2">
      <c r="O30">
        <v>300</v>
      </c>
      <c r="P30">
        <v>80</v>
      </c>
    </row>
    <row r="31" spans="1:16" x14ac:dyDescent="0.2">
      <c r="O31">
        <v>350</v>
      </c>
      <c r="P31">
        <v>80.5</v>
      </c>
    </row>
    <row r="32" spans="1:16" x14ac:dyDescent="0.2">
      <c r="O32">
        <v>400</v>
      </c>
      <c r="P32">
        <v>80.5</v>
      </c>
    </row>
    <row r="33" spans="15:16" x14ac:dyDescent="0.2">
      <c r="O33">
        <v>450</v>
      </c>
      <c r="P33">
        <v>80.7</v>
      </c>
    </row>
    <row r="34" spans="15:16" x14ac:dyDescent="0.2">
      <c r="O34">
        <v>500</v>
      </c>
      <c r="P34">
        <v>81.2</v>
      </c>
    </row>
    <row r="35" spans="15:16" x14ac:dyDescent="0.2">
      <c r="O35">
        <v>550</v>
      </c>
      <c r="P35">
        <v>81.400000000000006</v>
      </c>
    </row>
    <row r="36" spans="15:16" x14ac:dyDescent="0.2">
      <c r="O36">
        <v>600</v>
      </c>
      <c r="P36">
        <v>81.900000000000006</v>
      </c>
    </row>
    <row r="37" spans="15:16" x14ac:dyDescent="0.2">
      <c r="O37">
        <v>650</v>
      </c>
      <c r="P37">
        <v>82.1</v>
      </c>
    </row>
    <row r="38" spans="15:16" x14ac:dyDescent="0.2">
      <c r="O38">
        <v>700</v>
      </c>
      <c r="P38">
        <v>82.4</v>
      </c>
    </row>
    <row r="39" spans="15:16" x14ac:dyDescent="0.2">
      <c r="O39">
        <v>750</v>
      </c>
      <c r="P39">
        <v>82.8</v>
      </c>
    </row>
    <row r="40" spans="15:16" x14ac:dyDescent="0.2">
      <c r="O40">
        <v>800</v>
      </c>
      <c r="P40">
        <v>83.1</v>
      </c>
    </row>
    <row r="41" spans="15:16" x14ac:dyDescent="0.2">
      <c r="O41">
        <v>850</v>
      </c>
      <c r="P41">
        <v>83.3</v>
      </c>
    </row>
    <row r="42" spans="15:16" x14ac:dyDescent="0.2">
      <c r="O42">
        <v>900</v>
      </c>
      <c r="P42">
        <v>83.5</v>
      </c>
    </row>
    <row r="43" spans="15:16" x14ac:dyDescent="0.2">
      <c r="O43">
        <v>950</v>
      </c>
      <c r="P43">
        <v>83.8</v>
      </c>
    </row>
    <row r="44" spans="15:16" x14ac:dyDescent="0.2">
      <c r="O44">
        <v>1000</v>
      </c>
      <c r="P44">
        <v>84</v>
      </c>
    </row>
    <row r="45" spans="15:16" x14ac:dyDescent="0.2">
      <c r="O45">
        <v>1050</v>
      </c>
      <c r="P45">
        <v>84.5</v>
      </c>
    </row>
    <row r="46" spans="15:16" x14ac:dyDescent="0.2">
      <c r="O46">
        <v>1100</v>
      </c>
      <c r="P46">
        <v>84.7</v>
      </c>
    </row>
    <row r="47" spans="15:16" x14ac:dyDescent="0.2">
      <c r="O47">
        <v>1150</v>
      </c>
      <c r="P47">
        <v>84.9</v>
      </c>
    </row>
    <row r="48" spans="15:16" x14ac:dyDescent="0.2">
      <c r="O48">
        <v>1200</v>
      </c>
      <c r="P48">
        <v>85.2</v>
      </c>
    </row>
    <row r="49" spans="15:16" x14ac:dyDescent="0.2">
      <c r="O49">
        <v>1250</v>
      </c>
      <c r="P49">
        <v>85.6</v>
      </c>
    </row>
    <row r="50" spans="15:16" x14ac:dyDescent="0.2">
      <c r="O50">
        <v>1300</v>
      </c>
      <c r="P50">
        <v>86.6</v>
      </c>
    </row>
  </sheetData>
  <sortState xmlns:xlrd2="http://schemas.microsoft.com/office/spreadsheetml/2017/richdata2" ref="G4:I22">
    <sortCondition ref="G4:G2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Magdalena Śmietana</dc:creator>
  <cp:lastModifiedBy>Magdalena Śmietana</cp:lastModifiedBy>
  <dcterms:created xsi:type="dcterms:W3CDTF">2025-11-04T11:26:52Z</dcterms:created>
  <dcterms:modified xsi:type="dcterms:W3CDTF">2025-11-10T12:25:03Z</dcterms:modified>
</cp:coreProperties>
</file>