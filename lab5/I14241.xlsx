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agdalenasmietana/Documents/Fizyka/Fizyka-Lab/lab5/"/>
    </mc:Choice>
  </mc:AlternateContent>
  <xr:revisionPtr revIDLastSave="0" documentId="8_{404D9B38-AA1E-9A49-AEFB-C61F8EB4D5C3}" xr6:coauthVersionLast="47" xr6:coauthVersionMax="47" xr10:uidLastSave="{00000000-0000-0000-0000-000000000000}"/>
  <bookViews>
    <workbookView xWindow="0" yWindow="660" windowWidth="29400" windowHeight="18460" xr2:uid="{EAD3DAE9-F3B0-42A3-9A8C-F6FE9E4DE356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H15" i="1"/>
  <c r="K8" i="1"/>
  <c r="K9" i="1"/>
  <c r="K10" i="1"/>
  <c r="K11" i="1"/>
  <c r="K12" i="1"/>
  <c r="K13" i="1"/>
  <c r="K14" i="1"/>
  <c r="K15" i="1"/>
  <c r="L15" i="1" s="1"/>
  <c r="K16" i="1"/>
  <c r="L16" i="1" s="1"/>
  <c r="K17" i="1"/>
  <c r="L17" i="1" s="1"/>
  <c r="K18" i="1"/>
  <c r="L18" i="1" s="1"/>
  <c r="K19" i="1"/>
  <c r="K20" i="1"/>
  <c r="K21" i="1"/>
  <c r="K22" i="1"/>
  <c r="L8" i="1"/>
  <c r="L9" i="1"/>
  <c r="L10" i="1"/>
  <c r="L11" i="1"/>
  <c r="L12" i="1"/>
  <c r="L13" i="1"/>
  <c r="L14" i="1"/>
  <c r="L19" i="1"/>
  <c r="L20" i="1"/>
  <c r="L21" i="1"/>
  <c r="L22" i="1"/>
  <c r="H22" i="1"/>
  <c r="H19" i="1"/>
  <c r="H13" i="1"/>
  <c r="H12" i="1"/>
  <c r="K7" i="1"/>
  <c r="L7" i="1" s="1"/>
  <c r="L35" i="1"/>
  <c r="K36" i="1"/>
  <c r="K33" i="1" l="1"/>
  <c r="M19" i="1" s="1"/>
  <c r="M16" i="1" l="1"/>
  <c r="M14" i="1"/>
  <c r="M22" i="1"/>
  <c r="M10" i="1"/>
  <c r="M15" i="1"/>
  <c r="M11" i="1"/>
  <c r="M17" i="1"/>
  <c r="M13" i="1"/>
  <c r="M21" i="1"/>
  <c r="M9" i="1"/>
  <c r="M7" i="1"/>
  <c r="M18" i="1"/>
  <c r="M12" i="1"/>
  <c r="M20" i="1"/>
  <c r="M8" i="1"/>
  <c r="K40" i="1" l="1"/>
</calcChain>
</file>

<file path=xl/sharedStrings.xml><?xml version="1.0" encoding="utf-8"?>
<sst xmlns="http://schemas.openxmlformats.org/spreadsheetml/2006/main" count="14" uniqueCount="14">
  <si>
    <t>Lp.</t>
  </si>
  <si>
    <t>Liczba zwojów N</t>
  </si>
  <si>
    <t>Prąd I [mA]</t>
  </si>
  <si>
    <t>Kąt wychylenia w lewo alfa [st]</t>
  </si>
  <si>
    <t>Kąt wychylenia w prawo alfa [st]</t>
  </si>
  <si>
    <t>Średni kąt wychylenia</t>
  </si>
  <si>
    <t>B_0 [muT]</t>
  </si>
  <si>
    <t>mu_0</t>
  </si>
  <si>
    <t>srednica cewki [mm]</t>
  </si>
  <si>
    <t>B_0</t>
  </si>
  <si>
    <t>[metry]</t>
  </si>
  <si>
    <t>b_0 srednie</t>
  </si>
  <si>
    <t>(B_i - B_0_sr)^2</t>
  </si>
  <si>
    <t>niepewnosc pomiarowa u_A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</si>
</sst>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9B7A9-41F0-4316-96C5-F937DA481D86}">
  <dimension ref="F6:M40"/>
  <sheetViews>
    <sheetView tabSelected="1" workbookViewId="0">
      <selection activeCell="L29" sqref="L29"/>
    </sheetView>
  </sheetViews>
  <sheetFormatPr baseColWidth="10" defaultColWidth="8.83203125" defaultRowHeight="15" x14ac:dyDescent="0.2"/>
  <cols>
    <col min="7" max="7" width="17.33203125" customWidth="1"/>
    <col min="8" max="8" width="11.5" customWidth="1"/>
    <col min="9" max="9" width="28.33203125" customWidth="1"/>
    <col min="10" max="10" width="28.83203125" customWidth="1"/>
    <col min="11" max="11" width="20" customWidth="1"/>
    <col min="12" max="12" width="10.1640625" customWidth="1"/>
    <col min="13" max="13" width="16.1640625" customWidth="1"/>
  </cols>
  <sheetData>
    <row r="6" spans="6:13" ht="17.25" customHeight="1" x14ac:dyDescent="0.2">
      <c r="F6" t="s">
        <v>0</v>
      </c>
      <c r="G6" t="s">
        <v>1</v>
      </c>
      <c r="H6" t="s">
        <v>2</v>
      </c>
      <c r="I6" t="s">
        <v>3</v>
      </c>
      <c r="J6" t="s">
        <v>4</v>
      </c>
      <c r="K6" t="s">
        <v>5</v>
      </c>
      <c r="L6" t="s">
        <v>6</v>
      </c>
      <c r="M6" t="s">
        <v>12</v>
      </c>
    </row>
    <row r="7" spans="6:13" x14ac:dyDescent="0.2">
      <c r="F7">
        <v>1</v>
      </c>
      <c r="G7">
        <v>40</v>
      </c>
      <c r="H7">
        <v>56</v>
      </c>
      <c r="I7">
        <v>28</v>
      </c>
      <c r="J7">
        <v>25</v>
      </c>
      <c r="K7">
        <f t="shared" ref="K7:K30" si="0">(I7+J7)/2</f>
        <v>26.5</v>
      </c>
      <c r="L7">
        <f>($K$36*G7*H7)/($K$35*TAN(RADIANS(K7)))*POWER(10,6)</f>
        <v>21.714422335965708</v>
      </c>
      <c r="M7">
        <f>POWER(L7 - $K$33,2)</f>
        <v>9.6006117701817564E-2</v>
      </c>
    </row>
    <row r="8" spans="6:13" x14ac:dyDescent="0.2">
      <c r="F8">
        <v>2</v>
      </c>
      <c r="G8">
        <v>40</v>
      </c>
      <c r="H8">
        <v>90</v>
      </c>
      <c r="I8">
        <v>40</v>
      </c>
      <c r="J8">
        <v>38</v>
      </c>
      <c r="K8">
        <f t="shared" si="0"/>
        <v>39</v>
      </c>
      <c r="L8">
        <f t="shared" ref="L8:L30" si="1">($K$36*G8*H8)/($K$35*TAN(RADIANS(K8)))*POWER(10,6)</f>
        <v>21.48670431642153</v>
      </c>
      <c r="M8">
        <f t="shared" ref="M8:M30" si="2">POWER(L8 - $K$33,2)</f>
        <v>0.28897780587369115</v>
      </c>
    </row>
    <row r="9" spans="6:13" x14ac:dyDescent="0.2">
      <c r="F9">
        <v>3</v>
      </c>
      <c r="G9">
        <v>40</v>
      </c>
      <c r="H9">
        <v>136</v>
      </c>
      <c r="I9">
        <v>49</v>
      </c>
      <c r="J9">
        <v>52</v>
      </c>
      <c r="K9">
        <f t="shared" si="0"/>
        <v>50.5</v>
      </c>
      <c r="L9">
        <f t="shared" si="1"/>
        <v>21.674040750329656</v>
      </c>
      <c r="M9">
        <f t="shared" si="2"/>
        <v>0.12266114085973714</v>
      </c>
    </row>
    <row r="10" spans="6:13" x14ac:dyDescent="0.2">
      <c r="F10">
        <v>4</v>
      </c>
      <c r="G10">
        <v>40</v>
      </c>
      <c r="H10">
        <v>212</v>
      </c>
      <c r="I10">
        <v>59</v>
      </c>
      <c r="J10">
        <v>66</v>
      </c>
      <c r="K10">
        <f t="shared" si="0"/>
        <v>62.5</v>
      </c>
      <c r="L10">
        <f t="shared" si="1"/>
        <v>21.335805526364663</v>
      </c>
      <c r="M10">
        <f t="shared" si="2"/>
        <v>0.47398453751615749</v>
      </c>
    </row>
    <row r="11" spans="6:13" x14ac:dyDescent="0.2">
      <c r="F11">
        <v>5</v>
      </c>
      <c r="G11">
        <v>24</v>
      </c>
      <c r="H11">
        <v>92</v>
      </c>
      <c r="I11">
        <v>29</v>
      </c>
      <c r="J11">
        <v>24</v>
      </c>
      <c r="K11">
        <f t="shared" si="0"/>
        <v>26.5</v>
      </c>
      <c r="L11">
        <f t="shared" si="1"/>
        <v>21.404216302594765</v>
      </c>
      <c r="M11">
        <f t="shared" si="2"/>
        <v>0.38446767388154918</v>
      </c>
    </row>
    <row r="12" spans="6:13" x14ac:dyDescent="0.2">
      <c r="F12">
        <v>6</v>
      </c>
      <c r="G12">
        <v>24</v>
      </c>
      <c r="H12">
        <f>38*4</f>
        <v>152</v>
      </c>
      <c r="I12">
        <v>41</v>
      </c>
      <c r="J12">
        <v>40</v>
      </c>
      <c r="K12">
        <f t="shared" si="0"/>
        <v>40.5</v>
      </c>
      <c r="L12">
        <f t="shared" si="1"/>
        <v>20.643933197332004</v>
      </c>
      <c r="M12">
        <f t="shared" si="2"/>
        <v>1.9053321068851981</v>
      </c>
    </row>
    <row r="13" spans="6:13" x14ac:dyDescent="0.2">
      <c r="F13">
        <v>7</v>
      </c>
      <c r="G13">
        <v>24</v>
      </c>
      <c r="H13">
        <f>60*4</f>
        <v>240</v>
      </c>
      <c r="I13">
        <v>50</v>
      </c>
      <c r="J13">
        <v>52</v>
      </c>
      <c r="K13">
        <f t="shared" si="0"/>
        <v>51</v>
      </c>
      <c r="L13">
        <f t="shared" si="1"/>
        <v>22.543856371315922</v>
      </c>
      <c r="M13">
        <f t="shared" si="2"/>
        <v>0.26996908704257644</v>
      </c>
    </row>
    <row r="14" spans="6:13" x14ac:dyDescent="0.2">
      <c r="F14">
        <v>8</v>
      </c>
      <c r="G14">
        <v>24</v>
      </c>
      <c r="H14">
        <v>350</v>
      </c>
      <c r="I14">
        <v>60</v>
      </c>
      <c r="J14">
        <v>66</v>
      </c>
      <c r="K14">
        <f t="shared" si="0"/>
        <v>63</v>
      </c>
      <c r="L14">
        <f t="shared" si="1"/>
        <v>20.68624590026057</v>
      </c>
      <c r="M14">
        <f t="shared" si="2"/>
        <v>1.7903108354452828</v>
      </c>
    </row>
    <row r="15" spans="6:13" x14ac:dyDescent="0.2">
      <c r="F15">
        <v>9</v>
      </c>
      <c r="G15">
        <v>16</v>
      </c>
      <c r="H15">
        <f>38*4</f>
        <v>152</v>
      </c>
      <c r="I15">
        <v>30</v>
      </c>
      <c r="J15">
        <v>26</v>
      </c>
      <c r="K15">
        <f t="shared" si="0"/>
        <v>28</v>
      </c>
      <c r="L15">
        <f t="shared" si="1"/>
        <v>22.106791875334846</v>
      </c>
      <c r="M15">
        <f t="shared" si="2"/>
        <v>6.8097153470853666E-3</v>
      </c>
    </row>
    <row r="16" spans="6:13" x14ac:dyDescent="0.2">
      <c r="F16">
        <v>10</v>
      </c>
      <c r="G16">
        <v>16</v>
      </c>
      <c r="H16">
        <f>64*4</f>
        <v>256</v>
      </c>
      <c r="I16">
        <v>41</v>
      </c>
      <c r="J16">
        <v>42</v>
      </c>
      <c r="K16">
        <f t="shared" si="0"/>
        <v>41.5</v>
      </c>
      <c r="L16">
        <f t="shared" si="1"/>
        <v>22.376287566535229</v>
      </c>
      <c r="M16">
        <f t="shared" si="2"/>
        <v>0.12391575048304647</v>
      </c>
    </row>
    <row r="17" spans="6:13" x14ac:dyDescent="0.2">
      <c r="F17">
        <v>11</v>
      </c>
      <c r="G17">
        <v>16</v>
      </c>
      <c r="H17">
        <v>360</v>
      </c>
      <c r="I17">
        <v>50</v>
      </c>
      <c r="J17">
        <v>52</v>
      </c>
      <c r="K17">
        <f t="shared" si="0"/>
        <v>51</v>
      </c>
      <c r="L17">
        <f t="shared" si="1"/>
        <v>22.543856371315922</v>
      </c>
      <c r="M17">
        <f t="shared" si="2"/>
        <v>0.26996908704257644</v>
      </c>
    </row>
    <row r="18" spans="6:13" x14ac:dyDescent="0.2">
      <c r="F18">
        <v>12</v>
      </c>
      <c r="G18">
        <v>16</v>
      </c>
      <c r="H18">
        <v>560</v>
      </c>
      <c r="I18">
        <v>60</v>
      </c>
      <c r="J18">
        <v>64</v>
      </c>
      <c r="K18">
        <f t="shared" si="0"/>
        <v>62</v>
      </c>
      <c r="L18">
        <f t="shared" si="1"/>
        <v>23.026020648299802</v>
      </c>
      <c r="M18">
        <f t="shared" si="2"/>
        <v>1.0035026064952808</v>
      </c>
    </row>
    <row r="19" spans="6:13" x14ac:dyDescent="0.2">
      <c r="F19">
        <v>13</v>
      </c>
      <c r="G19">
        <v>12</v>
      </c>
      <c r="H19">
        <f>52*4</f>
        <v>208</v>
      </c>
      <c r="I19">
        <v>30</v>
      </c>
      <c r="J19">
        <v>26</v>
      </c>
      <c r="K19">
        <f t="shared" si="0"/>
        <v>28</v>
      </c>
      <c r="L19">
        <f t="shared" si="1"/>
        <v>22.688549556264711</v>
      </c>
      <c r="M19">
        <f t="shared" si="2"/>
        <v>0.44126616518192613</v>
      </c>
    </row>
    <row r="20" spans="6:13" x14ac:dyDescent="0.2">
      <c r="F20">
        <v>14</v>
      </c>
      <c r="G20">
        <v>12</v>
      </c>
      <c r="H20">
        <v>340</v>
      </c>
      <c r="I20">
        <v>40</v>
      </c>
      <c r="J20">
        <v>42</v>
      </c>
      <c r="K20">
        <f t="shared" si="0"/>
        <v>41</v>
      </c>
      <c r="L20">
        <f t="shared" si="1"/>
        <v>22.684730558696995</v>
      </c>
      <c r="M20">
        <f t="shared" si="2"/>
        <v>0.4362069925951807</v>
      </c>
    </row>
    <row r="21" spans="6:13" x14ac:dyDescent="0.2">
      <c r="F21">
        <v>15</v>
      </c>
      <c r="G21">
        <v>12</v>
      </c>
      <c r="H21">
        <v>490</v>
      </c>
      <c r="I21">
        <v>50</v>
      </c>
      <c r="J21">
        <v>52</v>
      </c>
      <c r="K21">
        <f t="shared" si="0"/>
        <v>51</v>
      </c>
      <c r="L21">
        <f t="shared" si="1"/>
        <v>23.013520045718337</v>
      </c>
      <c r="M21">
        <f t="shared" si="2"/>
        <v>0.97861391997859193</v>
      </c>
    </row>
    <row r="22" spans="6:13" x14ac:dyDescent="0.2">
      <c r="F22">
        <v>16</v>
      </c>
      <c r="G22">
        <v>12</v>
      </c>
      <c r="H22">
        <f>38*20</f>
        <v>760</v>
      </c>
      <c r="I22">
        <v>60</v>
      </c>
      <c r="J22">
        <v>66</v>
      </c>
      <c r="K22">
        <f t="shared" si="0"/>
        <v>63</v>
      </c>
      <c r="L22">
        <f t="shared" si="1"/>
        <v>22.459352691711477</v>
      </c>
      <c r="M22">
        <f t="shared" si="2"/>
        <v>0.18929618644643487</v>
      </c>
    </row>
    <row r="33" spans="10:12" x14ac:dyDescent="0.2">
      <c r="J33" t="s">
        <v>11</v>
      </c>
      <c r="K33">
        <f>AVERAGE(L7:L30)</f>
        <v>22.024270875903881</v>
      </c>
    </row>
    <row r="34" spans="10:12" x14ac:dyDescent="0.2">
      <c r="L34" t="s">
        <v>10</v>
      </c>
    </row>
    <row r="35" spans="10:12" x14ac:dyDescent="0.2">
      <c r="J35" t="s">
        <v>8</v>
      </c>
      <c r="K35">
        <v>260</v>
      </c>
      <c r="L35">
        <f>K35/1000</f>
        <v>0.26</v>
      </c>
    </row>
    <row r="36" spans="10:12" x14ac:dyDescent="0.2">
      <c r="J36" t="s">
        <v>7</v>
      </c>
      <c r="K36">
        <f>4*PI()*POWER(10,-7)</f>
        <v>1.2566370614359173E-6</v>
      </c>
    </row>
    <row r="38" spans="10:12" x14ac:dyDescent="0.2">
      <c r="J38" t="s">
        <v>9</v>
      </c>
    </row>
    <row r="40" spans="10:12" x14ac:dyDescent="0.2">
      <c r="J40" t="s">
        <v>13</v>
      </c>
      <c r="K40">
        <f>SQRT(SUM(M7:M30)/(COUNTA(M7:M30)*(COUNTA(M7:M30)-1)))</f>
        <v>0.19128174822296531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Piotr Sączawa</dc:creator>
  <cp:lastModifiedBy>Magdalena Śmietana</cp:lastModifiedBy>
  <dcterms:created xsi:type="dcterms:W3CDTF">2025-11-11T07:29:00Z</dcterms:created>
  <dcterms:modified xsi:type="dcterms:W3CDTF">2025-11-14T13:34:12Z</dcterms:modified>
</cp:coreProperties>
</file>